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il\OneDrive\Desktop\CPPandScripting\"/>
    </mc:Choice>
  </mc:AlternateContent>
  <xr:revisionPtr revIDLastSave="0" documentId="13_ncr:1_{4E1BD7B9-88BA-4B48-918C-9B718F6BEFA3}" xr6:coauthVersionLast="47" xr6:coauthVersionMax="47" xr10:uidLastSave="{00000000-0000-0000-0000-000000000000}"/>
  <bookViews>
    <workbookView xWindow="-108" yWindow="-108" windowWidth="23256" windowHeight="13176" xr2:uid="{0D3CF950-410F-4802-ADAC-909AB8BCFA82}"/>
  </bookViews>
  <sheets>
    <sheet name="Striver DSA Sheet" sheetId="1" r:id="rId1"/>
  </sheets>
  <definedNames>
    <definedName name="_xlnm._FilterDatabase" localSheetId="0" hidden="1">'Striver DSA Sheet'!$A$1:$K$475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75" i="1" l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<sst xmlns="http://schemas.openxmlformats.org/spreadsheetml/2006/main" count="1112" uniqueCount="1004">
  <si>
    <t>Prob No.</t>
  </si>
  <si>
    <t>Problem</t>
  </si>
  <si>
    <t>Problem Link</t>
  </si>
  <si>
    <t>Keywords</t>
  </si>
  <si>
    <t>Personal Comment</t>
  </si>
  <si>
    <t>What I Learned</t>
  </si>
  <si>
    <t>Time Complexity</t>
  </si>
  <si>
    <t>Space Complexity</t>
  </si>
  <si>
    <t>Reason Why Complexity Is Like That</t>
  </si>
  <si>
    <t>Input Output</t>
  </si>
  <si>
    <t>https://takeuforward.org/c/c-basic-input-output/</t>
  </si>
  <si>
    <t>Cpp Basics</t>
  </si>
  <si>
    <t>https://takeuforward.org/data-structure/what-are-arrays-strings</t>
  </si>
  <si>
    <t>If ElseIf</t>
  </si>
  <si>
    <t>https://takeuforward.org/if-else/if-else-statements/</t>
  </si>
  <si>
    <t>Switch Case</t>
  </si>
  <si>
    <t>https://takeuforward.org/switch-case/switch-case-statements/</t>
  </si>
  <si>
    <t>What are arrays, strings?</t>
  </si>
  <si>
    <t>For loops</t>
  </si>
  <si>
    <t>https://takeuforward.org/for-loop/understanding-for-loop/</t>
  </si>
  <si>
    <t>While loops</t>
  </si>
  <si>
    <t>https://takeuforward.org/while-loop/while-loops-in-programming/</t>
  </si>
  <si>
    <t>Functions (Pass by Reference and Value)</t>
  </si>
  <si>
    <t>https://takeuforward.org/data-structure/functions-pass-by-reference-and-value</t>
  </si>
  <si>
    <t>Theory with examples</t>
  </si>
  <si>
    <t>https://takeuforward.org/time-complexity/time-and-space-complexity-strivers-a2z-dsa-course/</t>
  </si>
  <si>
    <t>Easy and Medium</t>
  </si>
  <si>
    <t>https://takeuforward.org/strivers-a2z-dsa-course/must-do-pattern-problems-before-starting-dsa/</t>
  </si>
  <si>
    <t>Hard</t>
  </si>
  <si>
    <t>Pattern 1</t>
  </si>
  <si>
    <t>Pattern 2</t>
  </si>
  <si>
    <t>Pattern 3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</si>
  <si>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</si>
  <si>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</si>
  <si>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</si>
  <si>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</si>
  <si>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</si>
  <si>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</si>
  <si>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</si>
  <si>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</si>
  <si>
    <t>Pattern 12</t>
  </si>
  <si>
    <t>Pattern 13</t>
  </si>
  <si>
    <t>Pattern 14</t>
  </si>
  <si>
    <t>Pattern 15</t>
  </si>
  <si>
    <t>Pattern 16</t>
  </si>
  <si>
    <t>Pattern 17</t>
  </si>
  <si>
    <t>Pattern 18</t>
  </si>
  <si>
    <t>Pattern 19</t>
  </si>
  <si>
    <t>Pattern 20</t>
  </si>
  <si>
    <t>Pattern 21</t>
  </si>
  <si>
    <t>Pattern 22</t>
  </si>
  <si>
    <t>STL</t>
  </si>
  <si>
    <t>https://takeuforward.org/c/c-stl-tutorial-most-frequent-used-stl-containers/</t>
  </si>
  <si>
    <t>Java Collections</t>
  </si>
  <si>
    <t>https://takeuforward.org/data-structure/java-collections</t>
  </si>
  <si>
    <t>Count all Digits of a Number</t>
  </si>
  <si>
    <t>https://takeuforward.org/data-structure/count-digits-in-a-number/</t>
  </si>
  <si>
    <t>Reverse a number</t>
  </si>
  <si>
    <t>https://leetcode.com/problems/reverse-integer/</t>
  </si>
  <si>
    <t>Palindrome Number</t>
  </si>
  <si>
    <t>https://leetcode.com/problems/palindrome-number/</t>
  </si>
  <si>
    <t>GCD of Two Numbers</t>
  </si>
  <si>
    <t>https://takeuforward.org/data-structure/find-gcd-of-two-numbers/</t>
  </si>
  <si>
    <t>Check if the Number is Armstrong</t>
  </si>
  <si>
    <t>https://leetcode.com/problems/armstrong-number/</t>
  </si>
  <si>
    <t>Print all Divisors</t>
  </si>
  <si>
    <t>https://takeuforward.org/data-structure/print-all-divisors-of-a-given-number/</t>
  </si>
  <si>
    <t>Check for Prime Number</t>
  </si>
  <si>
    <t>https://takeuforward.org/data-structure/check-if-a-number-is-prime-or-not/</t>
  </si>
  <si>
    <t>Understand recursion by print something N times</t>
  </si>
  <si>
    <t>https://takeuforward.org/recursion/introduction-to-recursion-understand-recursion-by-printing-something-n-times/</t>
  </si>
  <si>
    <t>Print name N times using recursion</t>
  </si>
  <si>
    <t>https://takeuforward.org/recursion/print-name-n-times-using-recursion/</t>
  </si>
  <si>
    <t>Print 1 to N using Recursion</t>
  </si>
  <si>
    <t>https://takeuforward.org/recursion/print-1-to-n-using-recursion/</t>
  </si>
  <si>
    <t>Print N to 1 using Recursion</t>
  </si>
  <si>
    <t>https://takeuforward.org/recursion/print-n-to-1-using-recursion/</t>
  </si>
  <si>
    <t>Sum of First N Numbers</t>
  </si>
  <si>
    <t>https://takeuforward.org/data-structure/sum-of-first-n-natural-numbers/</t>
  </si>
  <si>
    <t>Factorial of a given number</t>
  </si>
  <si>
    <t>https://takeuforward.org/data-structure/factorial-of-a-number-iterative-and-recursive</t>
  </si>
  <si>
    <t>Reverse an array</t>
  </si>
  <si>
    <t>https://takeuforward.org/data-structure/reverse-a-given-array/</t>
  </si>
  <si>
    <t>Check if String is Palindrome or Not</t>
  </si>
  <si>
    <t>https://leetcode.com/problems/valid-palindrome/</t>
  </si>
  <si>
    <t>Fibonacci Number</t>
  </si>
  <si>
    <t>https://leetcode.com/problems/fibonacci-number/</t>
  </si>
  <si>
    <t>Basic Hashing</t>
  </si>
  <si>
    <t>https://takeuforward.org/hashing/hashing-maps-time-complexity-collisions-division-rule-of-hashing-strivers-a2z-dsa-course/</t>
  </si>
  <si>
    <t>Counting Frequencies of Array Elements</t>
  </si>
  <si>
    <t>https://takeuforward.org/data-structure/count-frequency-of-each-element-in-the-array/</t>
  </si>
  <si>
    <t>Highest Occurring Element in an Array</t>
  </si>
  <si>
    <t>https://leetcode.com/problems/frequency-of-the-most-frequent-element/</t>
  </si>
  <si>
    <t>Selection Sort</t>
  </si>
  <si>
    <t>https://takeuforward.org/sorting/selection-sort-algorithm/</t>
  </si>
  <si>
    <t>Bubble Sort</t>
  </si>
  <si>
    <t>https://takeuforward.org/data-structure/bubble-sort-algorithm/</t>
  </si>
  <si>
    <t>Insertion Sorting</t>
  </si>
  <si>
    <t>https://takeuforward.org/data-structure/insertion-sort-algorithm/</t>
  </si>
  <si>
    <t>Merge Sorting</t>
  </si>
  <si>
    <t>https://takeuforward.org/data-structure/merge-sort-algorithm/</t>
  </si>
  <si>
    <t>Recursive Bubble Sort</t>
  </si>
  <si>
    <t>https://takeuforward.org/arrays/recursive-bubble-sort-algorithm/</t>
  </si>
  <si>
    <t>Recursive Insertion Sort</t>
  </si>
  <si>
    <t>https://takeuforward.org/arrays/recursive-insertion-sort-algorithm/</t>
  </si>
  <si>
    <t>Quick Sorting</t>
  </si>
  <si>
    <t>https://takeuforward.org/data-structure/quick-sort-algorithm/</t>
  </si>
  <si>
    <t>Largest Element</t>
  </si>
  <si>
    <t>https://takeuforward.org/data-structure/find-the-largest-element-in-an-array/</t>
  </si>
  <si>
    <t>Second Largest Element</t>
  </si>
  <si>
    <t>https://takeuforward.org/data-structure/find-second-smallest-and-second-largest-element-in-an-array/</t>
  </si>
  <si>
    <t>Check if the Array is Sorted II</t>
  </si>
  <si>
    <t>https://leetcode.com/problems/check-if-array-is-sorted-and-rotated/#:~:text=Input%3A%20nums%20%3D%20%5B2%2C,no%20rotation)%20to%20make%20nums.</t>
  </si>
  <si>
    <t>Remove duplicates from Sorted array</t>
  </si>
  <si>
    <t>https://leetcode.com/problems/remove-duplicates-from-sorted-array/#:~:text=Input%3A%20nums%20%3D%20%5B0%2C,%2C%203%2C%20and%204%20respectively.</t>
  </si>
  <si>
    <t>Left Rotate Array by One</t>
  </si>
  <si>
    <t>https://leetcode.com/problems/rotate-array/</t>
  </si>
  <si>
    <t>Left Rotate Array by K Places</t>
  </si>
  <si>
    <t>Move Zeros to End</t>
  </si>
  <si>
    <t>https://leetcode.com/problems/move-zeroes/</t>
  </si>
  <si>
    <t>Linear Search</t>
  </si>
  <si>
    <t>https://takeuforward.org/data-structure/linear-search-in-c/</t>
  </si>
  <si>
    <t>Union of two sorted arrays</t>
  </si>
  <si>
    <t>https://takeuforward.org/data-structure/union-of-two-sorted-arrays/</t>
  </si>
  <si>
    <t>Find missing number</t>
  </si>
  <si>
    <t>https://www.geeksforgeeks.org/find-the-missing-number/</t>
  </si>
  <si>
    <t>Maximum Consecutive Ones</t>
  </si>
  <si>
    <t>https://leetcode.com/problems/max-consecutive-ones/</t>
  </si>
  <si>
    <t>Find the number that appears once, and other numbers twice.</t>
  </si>
  <si>
    <t>https://leetcode.com/problems/single-number/</t>
  </si>
  <si>
    <t>Longest subarray with given sum K(positives)</t>
  </si>
  <si>
    <t>https://takeuforward.org/data-structure/longest-subarray-with-given-sum-k/</t>
  </si>
  <si>
    <t>Longest subarray with sum K</t>
  </si>
  <si>
    <t>https://takeuforward.org/data-structure/length-of-the-longest-subarray-with-zero-sum/</t>
  </si>
  <si>
    <t>Two Sum</t>
  </si>
  <si>
    <t>https://leetcode.com/problems/two-sum/</t>
  </si>
  <si>
    <t>Sort an array of 0's 1's and 2's</t>
  </si>
  <si>
    <t>https://leetcode.com/problems/sort-colors/</t>
  </si>
  <si>
    <t>Majority Element-I</t>
  </si>
  <si>
    <t>https://leetcode.com/problems/majority-element/</t>
  </si>
  <si>
    <t>Kadane's Algorithm</t>
  </si>
  <si>
    <t>https://leetcode.com/problems/maximum-subarray/</t>
  </si>
  <si>
    <t>Print subarray with maximum subarray sum (extended version of above problem)</t>
  </si>
  <si>
    <t>https://takeuforward.org/data-structure/kadanes-algorithm-maximum-subarray-sum-in-an-array/</t>
  </si>
  <si>
    <t>Stock Buy and Sell</t>
  </si>
  <si>
    <t>https://leetcode.com/problems/best-time-to-buy-and-sell-stock/</t>
  </si>
  <si>
    <t>Rearrange array elements by sign</t>
  </si>
  <si>
    <t>https://leetcode.com/problems/rearrange-array-elements-by-sign/</t>
  </si>
  <si>
    <t>Next Permutation</t>
  </si>
  <si>
    <t>https://leetcode.com/problems/next-permutation/</t>
  </si>
  <si>
    <t>Leaders in an Array</t>
  </si>
  <si>
    <t>https://takeuforward.org/data-structure/leaders-in-an-array/</t>
  </si>
  <si>
    <t>Longest Consecutive Sequence in an Array</t>
  </si>
  <si>
    <t>https://leetcode.com/problems/longest-consecutive-sequence/solution/</t>
  </si>
  <si>
    <t>Set Matrix Zeroes</t>
  </si>
  <si>
    <t>https://leetcode.com/problems/set-matrix-zeroes/</t>
  </si>
  <si>
    <t>Rotate matrix by 90 degrees</t>
  </si>
  <si>
    <t>https://leetcode.com/problems/rotate-image/</t>
  </si>
  <si>
    <t>Print the matrix in spiral manner</t>
  </si>
  <si>
    <t>https://leetcode.com/problems/spiral-matrix/</t>
  </si>
  <si>
    <t>Count subarrays with given sum</t>
  </si>
  <si>
    <t>https://leetcode.com/problems/subarray-sum-equals-k/</t>
  </si>
  <si>
    <t>Pascal's Triangle I</t>
  </si>
  <si>
    <t>https://leetcode.com/problems/pascals-triangle/</t>
  </si>
  <si>
    <t>Majority Element-II</t>
  </si>
  <si>
    <t>https://leetcode.com/problems/majority-element-ii/</t>
  </si>
  <si>
    <t>3 Sum</t>
  </si>
  <si>
    <t>https://leetcode.com/problems/3sum/</t>
  </si>
  <si>
    <t>4 Sum</t>
  </si>
  <si>
    <t>https://leetcode.com/problems/4sum/</t>
  </si>
  <si>
    <t>Largest Subarray with Sum 0</t>
  </si>
  <si>
    <t>Count subarrays with given xor K</t>
  </si>
  <si>
    <t>https://takeuforward.org/data-structure/count-the-number-of-subarrays-with-given-xor-k/</t>
  </si>
  <si>
    <t>Merge Overlapping Subintervals</t>
  </si>
  <si>
    <t>https://leetcode.com/problems/merge-intervals/</t>
  </si>
  <si>
    <t>Merge two sorted arrays without extra space</t>
  </si>
  <si>
    <t>https://leetcode.com/problems/merge-sorted-array/</t>
  </si>
  <si>
    <t>Find the repeating and missing number</t>
  </si>
  <si>
    <t>https://takeuforward.org/data-structure/find-the-repeating-and-missing-numbers/</t>
  </si>
  <si>
    <t>Count Inversions</t>
  </si>
  <si>
    <t>https://takeuforward.org/data-structure/count-inversions-in-an-array</t>
  </si>
  <si>
    <t>Reverse Pairs</t>
  </si>
  <si>
    <t>https://leetcode.com/problems/reverse-pairs/</t>
  </si>
  <si>
    <t>Maximum Product Subarray in an Array</t>
  </si>
  <si>
    <t>https://leetcode.com/problems/maximum-product-subarray/</t>
  </si>
  <si>
    <t>Search X in sorted array</t>
  </si>
  <si>
    <t>https://leetcode.com/problems/binary-search/</t>
  </si>
  <si>
    <t>Lower Bound</t>
  </si>
  <si>
    <t>https://takeuforward.org/arrays/implement-lower-bound-bs-2/</t>
  </si>
  <si>
    <t>Upper Bound</t>
  </si>
  <si>
    <t>https://takeuforward.org/arrays/implement-upper-bound/</t>
  </si>
  <si>
    <t>Search insert position</t>
  </si>
  <si>
    <t>https://leetcode.com/problems/search-insert-position/#:~:text=Search%20Insert%20Position%20%2D%20LeetCode&amp;text=Given%20a%20sorted%20array%20of,(log%20n)%20runtime%20complexity.</t>
  </si>
  <si>
    <t>Floor and Ceil in Sorted Array</t>
  </si>
  <si>
    <t>https://takeuforward.org/arrays/floor-and-ceil-in-sorted-array/</t>
  </si>
  <si>
    <t>First and last occurrence</t>
  </si>
  <si>
    <t>https://leetcode.com/problems/find-first-and-last-position-of-element-in-sorted-array/</t>
  </si>
  <si>
    <t>Count Occurrences in a Sorted Array</t>
  </si>
  <si>
    <t>https://takeuforward.org/data-structure/count-occurrences-in-sorted-array/</t>
  </si>
  <si>
    <t>Search in rotated sorted array-I</t>
  </si>
  <si>
    <t>https://leetcode.com/problems/search-in-rotated-sorted-array/</t>
  </si>
  <si>
    <t>Search in rotated sorted array-II</t>
  </si>
  <si>
    <t>https://leetcode.com/problems/search-in-rotated-sorted-array-ii/</t>
  </si>
  <si>
    <t>Find minimum in Rotated Sorted Array</t>
  </si>
  <si>
    <t>https://leetcode.com/problems/find-minimum-in-rotated-sorted-array/</t>
  </si>
  <si>
    <t>Find out how many times the array is rotated</t>
  </si>
  <si>
    <t>https://takeuforward.org/arrays/find-out-how-many-times-the-array-has-been-rotated/</t>
  </si>
  <si>
    <t>Single element in a Sorted Array</t>
  </si>
  <si>
    <t>https://leetcode.com/problems/single-element-in-a-sorted-array/</t>
  </si>
  <si>
    <t>Find peak element</t>
  </si>
  <si>
    <t>https://leetcode.com/problems/find-peak-element/#:~:text=Find%20Peak%20Element%20%2D%20LeetCode&amp;text=A%20peak%20element%20is%20an,to%20any%20of%20the%20peaks.</t>
  </si>
  <si>
    <t>Find square root of a number</t>
  </si>
  <si>
    <t>https://takeuforward.org/binary-search/finding-sqrt-of-a-number-using-binary-search/</t>
  </si>
  <si>
    <t>Find Nth root of a number</t>
  </si>
  <si>
    <t>https://takeuforward.org/data-structure/nth-root-of-a-number-using-binary-search/</t>
  </si>
  <si>
    <t>Koko eating bananas</t>
  </si>
  <si>
    <t>https://leetcode.com/problems/koko-eating-bananas/</t>
  </si>
  <si>
    <t>Minimum days to make M bouquets</t>
  </si>
  <si>
    <t>https://leetcode.com/problems/minimum-number-of-days-to-make-m-bouquets/</t>
  </si>
  <si>
    <t>Find the smallest divisor</t>
  </si>
  <si>
    <t>https://leetcode.com/problems/find-the-smallest-divisor-given-a-threshold/</t>
  </si>
  <si>
    <t>Capacity to Ship Packages Within D Days</t>
  </si>
  <si>
    <t>https://leetcode.com/problems/capacity-to-ship-packages-within-d-days/</t>
  </si>
  <si>
    <t>Kth Missing Positive Number</t>
  </si>
  <si>
    <t>https://leetcode.com/problems/kth-missing-positive-number/#:~:text=Given%20an%20array%20arr%20of,13%2C...%5D.</t>
  </si>
  <si>
    <t>Aggressive Cows</t>
  </si>
  <si>
    <t>https://takeuforward.org/data-structure/aggressive-cows-detailed-solution/</t>
  </si>
  <si>
    <t>Book Allocation Problem</t>
  </si>
  <si>
    <t>https://takeuforward.org/data-structure/allocate-minimum-number-of-pages/</t>
  </si>
  <si>
    <t>Split array - largest sum</t>
  </si>
  <si>
    <t>https://leetcode.com/problems/split-array-largest-sum/</t>
  </si>
  <si>
    <t>Painter's Partition</t>
  </si>
  <si>
    <t>https://takeuforward.org/arrays/painters-partition-problem/</t>
  </si>
  <si>
    <t>Minimize Max Distance to Gas Station</t>
  </si>
  <si>
    <t>https://leetcode.com/problems/minimize-max-distance-to-gas-station/</t>
  </si>
  <si>
    <t>Median of 2 sorted arrays</t>
  </si>
  <si>
    <t>https://leetcode.com/problems/median-of-two-sorted-arrays/</t>
  </si>
  <si>
    <t>Kth element of 2 sorted arrays</t>
  </si>
  <si>
    <t>https://takeuforward.org/data-structure/k-th-element-of-two-sorted-arrays/</t>
  </si>
  <si>
    <t>Find row with maximum 1's</t>
  </si>
  <si>
    <t>https://takeuforward.org/arrays/find-the-row-with-maximum-number-of-1s/</t>
  </si>
  <si>
    <t>Search in a 2D matrix</t>
  </si>
  <si>
    <t>https://leetcode.com/problems/search-a-2d-matrix/</t>
  </si>
  <si>
    <t>Search in 2D matrix - II</t>
  </si>
  <si>
    <t>https://leetcode.com/problems/search-a-2d-matrix-ii/</t>
  </si>
  <si>
    <t>Find Peak Element - II</t>
  </si>
  <si>
    <t>https://leetcode.com/problems/find-a-peak-element-ii/</t>
  </si>
  <si>
    <t>Matrix Median</t>
  </si>
  <si>
    <t>https://takeuforward.org/data-structure/median-of-row-wise-sorted-matrix/</t>
  </si>
  <si>
    <t>Remove Outermost Parentheses</t>
  </si>
  <si>
    <t>https://leetcode.com/problems/remove-outermost-parentheses/</t>
  </si>
  <si>
    <t>Reverse words in a given string / Palindrome Check</t>
  </si>
  <si>
    <t>https://leetcode.com/problems/reverse-words-in-a-string/</t>
  </si>
  <si>
    <t>Largest Odd Number in a String</t>
  </si>
  <si>
    <t>https://leetcode.com/problems/largest-odd-number-in-string/</t>
  </si>
  <si>
    <t>Longest Common Prefix</t>
  </si>
  <si>
    <t>https://leetcode.com/problems/longest-common-prefix/</t>
  </si>
  <si>
    <t>Isomorphic String</t>
  </si>
  <si>
    <t>https://leetcode.com/problems/isomorphic-strings/</t>
  </si>
  <si>
    <t>Rotate String</t>
  </si>
  <si>
    <t>https://leetcode.com/problems/rotate-string/</t>
  </si>
  <si>
    <t>Check if two strings are anagram of each other</t>
  </si>
  <si>
    <t>https://leetcode.com/problems/valid-anagram/#:~:text=Given%20two%20strings%20s%20and,the%20original%20letters%20exactly%20once.&amp;text=Constraints%3A,.length%20%3C%3D%205%20*%2010</t>
  </si>
  <si>
    <t>Sort Characters by Frequency</t>
  </si>
  <si>
    <t>https://leetcode.com/problems/sort-characters-by-frequency/</t>
  </si>
  <si>
    <t>Maximum Nesting Depth of the Parentheses</t>
  </si>
  <si>
    <t>https://leetcode.com/problems/maximum-nesting-depth-of-the-parentheses/</t>
  </si>
  <si>
    <t>Roman to Integer</t>
  </si>
  <si>
    <t>https://leetcode.com/problems/roman-to-integer/</t>
  </si>
  <si>
    <t>String to Integer (atoi)</t>
  </si>
  <si>
    <t>https://leetcode.com/problems/string-to-integer-atoi/</t>
  </si>
  <si>
    <t>Count Number of Substrings</t>
  </si>
  <si>
    <t>https://takeuforward.org/data-structure/count-number-of-substrings</t>
  </si>
  <si>
    <t>Longest Palindromic Substring</t>
  </si>
  <si>
    <t>https://leetcode.com/problems/longest-palindromic-substring/</t>
  </si>
  <si>
    <t>Sum of Beauty of All Substrings</t>
  </si>
  <si>
    <t>https://leetcode.com/problems/sum-of-beauty-of-all-substrings/</t>
  </si>
  <si>
    <t>Reverse every word in a string</t>
  </si>
  <si>
    <t>Introduction to Singly LinkedList</t>
  </si>
  <si>
    <t>https://takeuforward.org/linked-list/linked-list-introduction</t>
  </si>
  <si>
    <t>Insertion at the head of Linked List</t>
  </si>
  <si>
    <t>https://takeuforward.org/linked-list/insert-at-the-head-of-a-linked-list</t>
  </si>
  <si>
    <t>Deletion of the head of LL</t>
  </si>
  <si>
    <t>https://leetcode.com/problems/delete-node-in-a-linked-list/</t>
  </si>
  <si>
    <t>Find the length of the Linked List</t>
  </si>
  <si>
    <t>https://takeuforward.org/linked-list/find-the-length-of-a-linked-list</t>
  </si>
  <si>
    <t>Search in Linked List</t>
  </si>
  <si>
    <t>https://takeuforward.org/linked-list/search-an-element-in-a-linked-list</t>
  </si>
  <si>
    <t>Introduction to Doubly LL</t>
  </si>
  <si>
    <t>https://takeuforward.org/linked-list/introduction-to-doubly-linked-list</t>
  </si>
  <si>
    <t>Insert node before head in Doubly Linked List</t>
  </si>
  <si>
    <t>https://takeuforward.org/data-structure/insert-at-end-of-doubly-linked-list/</t>
  </si>
  <si>
    <t>Delete head of Doubly Linked List</t>
  </si>
  <si>
    <t>https://takeuforward.org/data-structure/delete-last-node-of-a-doubly-linked-list/</t>
  </si>
  <si>
    <t>Reverse a Doubly Linked List</t>
  </si>
  <si>
    <t>https://takeuforward.org/data-structure/reverse-a-doubly-linked-list/</t>
  </si>
  <si>
    <t>Middle of a LinkedList [TortoiseHare Method]</t>
  </si>
  <si>
    <t>https://leetcode.com/problems/middle-of-the-linked-list/</t>
  </si>
  <si>
    <t>Reverse a LinkedList [Iterative]</t>
  </si>
  <si>
    <t>https://leetcode.com/problems/reverse-linked-list/</t>
  </si>
  <si>
    <t>Reverse a LL</t>
  </si>
  <si>
    <t>Detect a loop in LL</t>
  </si>
  <si>
    <t>https://leetcode.com/problems/linked-list-cycle/</t>
  </si>
  <si>
    <t>Find the starting point in LL</t>
  </si>
  <si>
    <t>https://leetcode.com/problems/linked-list-cycle-ii/</t>
  </si>
  <si>
    <t>Length of loop in LL</t>
  </si>
  <si>
    <t>https://takeuforward.org/linked-list/length-of-loop-in-linked-list</t>
  </si>
  <si>
    <t>Check if LL is palindrome or not</t>
  </si>
  <si>
    <t>https://leetcode.com/problems/palindrome-linked-list/</t>
  </si>
  <si>
    <t>Segregate odd and even nodes in Linked List</t>
  </si>
  <si>
    <t>https://leetcode.com/problems/odd-even-linked-list/</t>
  </si>
  <si>
    <t>Remove Nth node from the back of the LL</t>
  </si>
  <si>
    <t>https://leetcode.com/problems/remove-nth-node-from-end-of-list/</t>
  </si>
  <si>
    <t>Delete the middle node in LL</t>
  </si>
  <si>
    <t>https://leetcode.com/problems/delete-the-middle-node-of-a-linked-list/#:~:text=You%20are%20given%20the%20head,than%20or%20equal%20to%20x%20.</t>
  </si>
  <si>
    <t>Sort LL</t>
  </si>
  <si>
    <t>https://leetcode.com/problems/sort-list/</t>
  </si>
  <si>
    <t>Sort a Linked List of 0's 1's and 2's</t>
  </si>
  <si>
    <t>https://takeuforward.org/data-structure/sort-a-linked-list-of-0s-1s-and-2s-by-changing-links</t>
  </si>
  <si>
    <t>Find the intersection point of Y LL</t>
  </si>
  <si>
    <t>https://leetcode.com/problems/intersection-of-two-linked-lists/</t>
  </si>
  <si>
    <t>Add one to a number represented by LL</t>
  </si>
  <si>
    <t>https://takeuforward.org/data-structure/add-1-to-a-number-represented-by-ll</t>
  </si>
  <si>
    <t>Add two numbers in Linked List</t>
  </si>
  <si>
    <t>https://leetcode.com/problems/add-two-numbers/</t>
  </si>
  <si>
    <t>Delete all occurrences of a key in DLL</t>
  </si>
  <si>
    <t>Find Pairs with Given Sum in Doubly Linked List</t>
  </si>
  <si>
    <t>https://takeuforward.org/data-structure/find-pairs-with-given-sum-in-doubly-linked-list</t>
  </si>
  <si>
    <t>Remove duplicates from sorted DLL</t>
  </si>
  <si>
    <t>https://takeuforward.org/data-structure/remove-duplicates-from-sorted-dll</t>
  </si>
  <si>
    <t>Reverse LL in group of given size K</t>
  </si>
  <si>
    <t>https://leetcode.com/problems/reverse-nodes-in-k-group/</t>
  </si>
  <si>
    <t>Rotate a LL</t>
  </si>
  <si>
    <t>https://leetcode.com/problems/rotate-list/description/</t>
  </si>
  <si>
    <t>Flattening of LL</t>
  </si>
  <si>
    <t>https://takeuforward.org/data-structure/flattening-a-linked-list/</t>
  </si>
  <si>
    <t>Clone a LL with random and next pointer</t>
  </si>
  <si>
    <t>https://leetcode.com/problems/copy-list-with-random-pointer/</t>
  </si>
  <si>
    <t>Recursive Implementation of atoi()</t>
  </si>
  <si>
    <t>Pow(x, n)</t>
  </si>
  <si>
    <t>https://leetcode.com/problems/powx-n/</t>
  </si>
  <si>
    <t>Count Good Numbers</t>
  </si>
  <si>
    <t>https://leetcode.com/problems/count-good-numbers/</t>
  </si>
  <si>
    <t>Sort a stack using recursion</t>
  </si>
  <si>
    <t>https://takeuforward.org/data-structure/sort-a-stack</t>
  </si>
  <si>
    <t>Reverse a Stack</t>
  </si>
  <si>
    <t>https://takeuforward.org/data-structure/reverse-a-stack-using-recursion</t>
  </si>
  <si>
    <t>Generate Binary Strings Without Consecutive 1s</t>
  </si>
  <si>
    <t>https://takeuforward.org/data-structure/generate-all-binary-strings</t>
  </si>
  <si>
    <t>Generate Parentheses</t>
  </si>
  <si>
    <t>https://leetcode.com/problems/generate-parentheses/</t>
  </si>
  <si>
    <t>Power Set</t>
  </si>
  <si>
    <t>https://takeuforward.org/data-structure/power-set-print-all-the-possible-subsequences-of-the-string/</t>
  </si>
  <si>
    <t>Learn All Patterns of Subsequences (Theory)</t>
  </si>
  <si>
    <t>https://takeuforward.org/data-structure/learn-all-patterns-of-subsequences-theory</t>
  </si>
  <si>
    <t>Count all subsequences with sum K</t>
  </si>
  <si>
    <t>https://takeuforward.org/data-structure/count-all-subsequences-with-sum-k</t>
  </si>
  <si>
    <t>Check if there exists a subsequence with sum K</t>
  </si>
  <si>
    <t>https://takeuforward.org/data-structure/check-if-there-exists-a-subsequence-with-sum-k</t>
  </si>
  <si>
    <t>Combination Sum</t>
  </si>
  <si>
    <t>https://leetcode.com/problems/combination-sum/</t>
  </si>
  <si>
    <t>Combination Sum II</t>
  </si>
  <si>
    <t>https://leetcode.com/problems/combination-sum-ii/</t>
  </si>
  <si>
    <t>Subsets I</t>
  </si>
  <si>
    <t>https://takeuforward.org/data-structure/subset-sum-sum-of-all-subsets/</t>
  </si>
  <si>
    <t>Subsets II</t>
  </si>
  <si>
    <t>https://leetcode.com/problems/subsets-ii/</t>
  </si>
  <si>
    <t>Combination Sum III</t>
  </si>
  <si>
    <t>https://leetcode.com/problems/combination-sum-iii/</t>
  </si>
  <si>
    <t>Letter Combinations of a Phone Number</t>
  </si>
  <si>
    <t>https://leetcode.com/problems/letter-combinations-of-a-phone-number/</t>
  </si>
  <si>
    <t>Palindrome partitioning</t>
  </si>
  <si>
    <t>https://takeuforward.org/plus/dsa/problems/palindrome-partitioning</t>
  </si>
  <si>
    <t>Word Search</t>
  </si>
  <si>
    <t>https://leetcode.com/problems/word-search/</t>
  </si>
  <si>
    <t>N Queen</t>
  </si>
  <si>
    <t>https://leetcode.com/problems/n-queens/</t>
  </si>
  <si>
    <t>Rat in a Maze</t>
  </si>
  <si>
    <t>https://takeuforward.org/data-structure/rat-in-a-maze/</t>
  </si>
  <si>
    <t>Word Break</t>
  </si>
  <si>
    <t>https://takeuforward.org/plus/dsa/problems/word-break</t>
  </si>
  <si>
    <t>M Coloring Problem</t>
  </si>
  <si>
    <t>https://takeuforward.org/data-structure/m-coloring-problem/</t>
  </si>
  <si>
    <t>Sudoku Solver</t>
  </si>
  <si>
    <t>https://leetcode.com/problems/sudoku-solver/</t>
  </si>
  <si>
    <t>Expression Add Operators</t>
  </si>
  <si>
    <t>https://leetcode.com/problems/expression-add-operators/</t>
  </si>
  <si>
    <t>Introduction to Bits and Tricks</t>
  </si>
  <si>
    <t>https://takeuforward.org/data-structure/introduction-to-bit-manipulation-theory</t>
  </si>
  <si>
    <t>Check if the i-th bit is Set or Not</t>
  </si>
  <si>
    <t>https://takeuforward.org/data-structure/check-if-the-i-th-bit-is-set-or-not</t>
  </si>
  <si>
    <t>Check if a Number is Odd or Not</t>
  </si>
  <si>
    <t>https://takeuforward.org/data-structure/check-if-a-number-is-odd-or-not</t>
  </si>
  <si>
    <t>Check if a Number is Power of 2 or Not</t>
  </si>
  <si>
    <t>https://leetcode.com/problems/power-of-two/</t>
  </si>
  <si>
    <t>Count the Number of Set Bits</t>
  </si>
  <si>
    <t>https://takeuforward.org/data-structure/count-the-number-of-set-bits</t>
  </si>
  <si>
    <t>Set/Unset the rightmost unset bit</t>
  </si>
  <si>
    <t>https://takeuforward.org/data-structure/set-the-rightmost-bit</t>
  </si>
  <si>
    <t>Swap Two Numbers</t>
  </si>
  <si>
    <t>https://takeuforward.org/data-structure/swap-two-numbers</t>
  </si>
  <si>
    <t>Divide two numbers without multiplication and division</t>
  </si>
  <si>
    <t>https://leetcode.com/problems/divide-two-integers/</t>
  </si>
  <si>
    <t>Minimum Bit Flips to Convert Number</t>
  </si>
  <si>
    <t>https://leetcode.com/problems/minimum-bit-flips-to-convert-number/</t>
  </si>
  <si>
    <t>Single Number - I</t>
  </si>
  <si>
    <t>Power Set Bit Manipulation</t>
  </si>
  <si>
    <t>https://leetcode.com/problems/subsets/</t>
  </si>
  <si>
    <t>XOR of numbers in a given range</t>
  </si>
  <si>
    <t>https://takeuforward.org/data-structure/find-xor-of-numbers-from-l-to-r</t>
  </si>
  <si>
    <t>Single Number - III</t>
  </si>
  <si>
    <t>https://takeuforward.org/data-structure/find-the-two-numbers-appearing-odd-number-of-times</t>
  </si>
  <si>
    <t>Print Prime Factors of a Number</t>
  </si>
  <si>
    <t>Divisors of a Number</t>
  </si>
  <si>
    <t>Count primes in range L to R</t>
  </si>
  <si>
    <t>https://leetcode.com/problems/count-primes/</t>
  </si>
  <si>
    <t>Prime factorisation of a Number</t>
  </si>
  <si>
    <t>Pow(x,n)</t>
  </si>
  <si>
    <t>Implement Stack using Arrays</t>
  </si>
  <si>
    <t>https://takeuforward.org/data-structure/implement-stack-using-array/</t>
  </si>
  <si>
    <t>Implement Queue using Arrays</t>
  </si>
  <si>
    <t>https://takeuforward.org/data-structure/implement-queue-using-array/</t>
  </si>
  <si>
    <t>Implement Stack using Queue</t>
  </si>
  <si>
    <t>https://leetcode.com/problems/implement-stack-using-queues/</t>
  </si>
  <si>
    <t>Implement Queue using Stack</t>
  </si>
  <si>
    <t>https://leetcode.com/problems/implement-queue-using-stacks/</t>
  </si>
  <si>
    <t>Implement stack using Linkedlist</t>
  </si>
  <si>
    <t>https://takeuforward.org/data-structure/implement-stack-using-linked-list/</t>
  </si>
  <si>
    <t>Implement queue using Linkedlist</t>
  </si>
  <si>
    <t>https://takeuforward.org/data-structure/implement-queue-using-linked-list/</t>
  </si>
  <si>
    <t>Balanced Paranthesis</t>
  </si>
  <si>
    <t>https://leetcode.com/problems/valid-parentheses/</t>
  </si>
  <si>
    <t>Implement Min Stack</t>
  </si>
  <si>
    <t>https://leetcode.com/problems/min-stack/</t>
  </si>
  <si>
    <t>Infix to Postfix Conversion</t>
  </si>
  <si>
    <t>https://takeuforward.org/data-structure/infix-to-postfix/</t>
  </si>
  <si>
    <t>Prefix to Infix Conversion</t>
  </si>
  <si>
    <t>https://takeuforward.org/data-structure/prefix-to-infix-conversion</t>
  </si>
  <si>
    <t>Prefix to Postfix Conversion</t>
  </si>
  <si>
    <t>https://takeuforward.org/data-structure/prefix-to-postfix-conversion</t>
  </si>
  <si>
    <t>Postfix to Prefix Conversion</t>
  </si>
  <si>
    <t>https://takeuforward.org/data-structure/postfix-to-prefix-conversion</t>
  </si>
  <si>
    <t>Postfix to Infix Conversion</t>
  </si>
  <si>
    <t>https://takeuforward.org/data-structure/postfix-to-infix</t>
  </si>
  <si>
    <t>Infix to Prefix Conversion</t>
  </si>
  <si>
    <t>https://takeuforward.org/data-structure/infix-to-prefix/</t>
  </si>
  <si>
    <t>Next Greater Element</t>
  </si>
  <si>
    <t>https://leetcode.com/problems/next-greater-element-i/</t>
  </si>
  <si>
    <t>Next Greater Element - 2</t>
  </si>
  <si>
    <t>https://leetcode.com/problems/next-greater-element-ii/</t>
  </si>
  <si>
    <t>Next Smaller Element</t>
  </si>
  <si>
    <t>https://takeuforward.org/data-structure/next-smaller-element</t>
  </si>
  <si>
    <t>Number of Greater Elements to the Right</t>
  </si>
  <si>
    <t>https://takeuforward.org/data-structure/number-of-nges-to-the-right</t>
  </si>
  <si>
    <t>Trapping Rainwater</t>
  </si>
  <si>
    <t>https://leetcode.com/problems/trapping-rain-water/</t>
  </si>
  <si>
    <t>Sum of Subarray Minimums</t>
  </si>
  <si>
    <t>https://leetcode.com/problems/sum-of-subarray-minimums/</t>
  </si>
  <si>
    <t>Asteroid Collision</t>
  </si>
  <si>
    <t>https://leetcode.com/problems/asteroid-collision/</t>
  </si>
  <si>
    <t>Sum of Subarray Ranges</t>
  </si>
  <si>
    <t>https://leetcode.com/problems/sum-of-subarray-ranges/</t>
  </si>
  <si>
    <t>Remove K Digits</t>
  </si>
  <si>
    <t>https://leetcode.com/problems/remove-k-digits/</t>
  </si>
  <si>
    <t>Largest rectangle in a histogram</t>
  </si>
  <si>
    <t>https://leetcode.com/problems/largest-rectangle-in-histogram/</t>
  </si>
  <si>
    <t>Maximum Rectangles</t>
  </si>
  <si>
    <t>https://leetcode.com/problems/maximal-rectangle/</t>
  </si>
  <si>
    <t>Sliding Window Maximum</t>
  </si>
  <si>
    <t>https://leetcode.com/problems/sliding-window-maximum/</t>
  </si>
  <si>
    <t>Stock span problem</t>
  </si>
  <si>
    <t>https://leetcode.com/problems/online-stock-span/</t>
  </si>
  <si>
    <t>Celebrity Problem</t>
  </si>
  <si>
    <t>https://leetcode.com/accounts/login/?next=/problems/find-the-celebrity/</t>
  </si>
  <si>
    <t>LRU Cache</t>
  </si>
  <si>
    <t>https://takeuforward.org/data-structure/program-for-least-recently-used-lru-page-replacement-algorithm</t>
  </si>
  <si>
    <t>LFU Cache</t>
  </si>
  <si>
    <t>https://leetcode.com/problems/lfu-cache/</t>
  </si>
  <si>
    <t>Longest Substring Without Repeating Characters</t>
  </si>
  <si>
    <t>https://leetcode.com/problems/longest-substring-without-repeating-characters/</t>
  </si>
  <si>
    <t>Max Consecutive Ones III</t>
  </si>
  <si>
    <t>https://leetcode.com/problems/max-consecutive-ones-iii/</t>
  </si>
  <si>
    <t>Fruit Into Baskets</t>
  </si>
  <si>
    <t>https://takeuforward.org/data-structure/fruit-into-baskets</t>
  </si>
  <si>
    <t>Longest Repeating Character Replacement</t>
  </si>
  <si>
    <t>https://leetcode.com/problems/longest-repeating-character-replacement/</t>
  </si>
  <si>
    <t>Binary Subarrays With Sum</t>
  </si>
  <si>
    <t>https://leetcode.com/problems/binary-subarrays-with-sum/</t>
  </si>
  <si>
    <t>Count number of Nice subarrays</t>
  </si>
  <si>
    <t>https://leetcode.com/problems/count-number-of-nice-subarrays/</t>
  </si>
  <si>
    <t>Number of Substrings Containing All Three Characters</t>
  </si>
  <si>
    <t>https://leetcode.com/problems/number-of-substrings-containing-all-three-characters/</t>
  </si>
  <si>
    <t>Maximum Points You Can Obtain from Cards</t>
  </si>
  <si>
    <t>https://leetcode.com/problems/maximum-points-you-can-obtain-from-cards/</t>
  </si>
  <si>
    <t>Longest Substring With At Most K Distinct Characters</t>
  </si>
  <si>
    <t>https://leetcode.com/problems/longest-substring-with-at-most-k-distinct-characters/</t>
  </si>
  <si>
    <t>Subarrays with K Different Integers</t>
  </si>
  <si>
    <t>https://leetcode.com/problems/subarrays-with-k-different-integers/</t>
  </si>
  <si>
    <t>Minimum Window Substring</t>
  </si>
  <si>
    <t>https://leetcode.com/problems/minimum-window-substring/</t>
  </si>
  <si>
    <t>Minimum Window Subsequence</t>
  </si>
  <si>
    <t>https://leetcode.com/problems/minimum-window-subsequence/</t>
  </si>
  <si>
    <t>Heaps (Theory Video)</t>
  </si>
  <si>
    <t>https://takeuforward.org/data-structure/introduction-to-priority-queues-using-binary-heaps</t>
  </si>
  <si>
    <t>Implement Min Heap</t>
  </si>
  <si>
    <t>https://takeuforward.org/plus/dsa/problems/implement-min-heap</t>
  </si>
  <si>
    <t>Check if an array represents a min heap</t>
  </si>
  <si>
    <t>https://takeuforward.org/data-structure/check-if-an-array-represents-a-min-heap</t>
  </si>
  <si>
    <t>Convert Min Heap to Max Heap</t>
  </si>
  <si>
    <t>https://takeuforward.org/plus/dsa/problems/convert-min-heap-to-max-heap</t>
  </si>
  <si>
    <t>K-th Largest element in an array</t>
  </si>
  <si>
    <t>https://takeuforward.org/data-structure/kth-largest-smallest-element-in-an-array/</t>
  </si>
  <si>
    <t>Kth smallest element in an array [use priority queue]</t>
  </si>
  <si>
    <t>Sort K sorted array</t>
  </si>
  <si>
    <t>https://takeuforward.org/data-structure/sort-k-sorted-array</t>
  </si>
  <si>
    <t>Merge K sorted Lists</t>
  </si>
  <si>
    <t>https://leetcode.com/problems/merge-k-sorted-lists/</t>
  </si>
  <si>
    <t>Replace Elements by Their Rank</t>
  </si>
  <si>
    <t>https://takeuforward.org/data-structure/replace-elements-by-its-rank-in-the-array/</t>
  </si>
  <si>
    <t>Task Scheduler</t>
  </si>
  <si>
    <t>https://leetcode.com/problems/task-scheduler/</t>
  </si>
  <si>
    <t>Hand of Straights</t>
  </si>
  <si>
    <t>https://leetcode.com/problems/hand-of-straights/</t>
  </si>
  <si>
    <t>Design Twitter</t>
  </si>
  <si>
    <t>https://leetcode.com/problems/design-twitter/</t>
  </si>
  <si>
    <t>Minimum Cost to Connect Sticks</t>
  </si>
  <si>
    <t>https://takeuforward.org/data-structure/minimum-cost-to-connect-sticks</t>
  </si>
  <si>
    <t>Kth largest element in a stream of running integers</t>
  </si>
  <si>
    <t>https://leetcode.com/problems/kth-largest-element-in-a-stream/#:~:text=Implement%20KthLargest%20class%3A,largest%20element%20in%20the%20stream.</t>
  </si>
  <si>
    <t>Maximum Sum Combination</t>
  </si>
  <si>
    <t>https://takeuforward.org/data-structure/maximum-sum-combination</t>
  </si>
  <si>
    <t>Find Median from Data Stream</t>
  </si>
  <si>
    <t>https://leetcode.com/problems/find-median-from-data-stream/</t>
  </si>
  <si>
    <t>Top K Frequent Elements</t>
  </si>
  <si>
    <t>https://leetcode.com/problems/top-k-frequent-elements/</t>
  </si>
  <si>
    <t>Assign Cookies</t>
  </si>
  <si>
    <t>https://leetcode.com/problems/assign-cookies/</t>
  </si>
  <si>
    <t>Fractional Knapsack</t>
  </si>
  <si>
    <t>https://takeuforward.org/data-structure/fractional-knapsack-problem-greedy-approach/</t>
  </si>
  <si>
    <t>Lemonade Change</t>
  </si>
  <si>
    <t>https://leetcode.com/problems/lemonade-change/</t>
  </si>
  <si>
    <t>Valid Paranthesis Checker</t>
  </si>
  <si>
    <t>https://leetcode.com/problems/valid-parenthesis-string/</t>
  </si>
  <si>
    <t>N meetings in one room</t>
  </si>
  <si>
    <t>https://takeuforward.org/data-structure/n-meetings-in-one-room/</t>
  </si>
  <si>
    <t>Jump Game - I</t>
  </si>
  <si>
    <t>https://leetcode.com/problems/jump-game/</t>
  </si>
  <si>
    <t>Jump Game II</t>
  </si>
  <si>
    <t>https://leetcode.com/problems/jump-game-ii/</t>
  </si>
  <si>
    <t>Minimum number of platforms required for a railway</t>
  </si>
  <si>
    <t>https://takeuforward.org/data-structure/minimum-number-of-platforms-required-for-a-railway/</t>
  </si>
  <si>
    <t>Job sequencing Problem</t>
  </si>
  <si>
    <t>https://takeuforward.org/data-structure/job-sequencing-problem/</t>
  </si>
  <si>
    <t>Candy</t>
  </si>
  <si>
    <t>https://leetcode.com/problems/candy/</t>
  </si>
  <si>
    <t>Shortest Job First</t>
  </si>
  <si>
    <t>https://takeuforward.org/Greedy/shortest-job-first-or-sjf-cpu-scheduling</t>
  </si>
  <si>
    <t>Program for Least Recently Used (LRU) Page Replacement Algorithm</t>
  </si>
  <si>
    <t>Insert Interval</t>
  </si>
  <si>
    <t>https://leetcode.com/problems/insert-interval/</t>
  </si>
  <si>
    <t>Merge Intervals</t>
  </si>
  <si>
    <t>Non-overlapping Intervals</t>
  </si>
  <si>
    <t>https://leetcode.com/problems/non-overlapping-intervals/</t>
  </si>
  <si>
    <t>Introduction to Trees</t>
  </si>
  <si>
    <t>https://takeuforward.org/binary-tree/introduction-to-trees/</t>
  </si>
  <si>
    <t>Binary Tree Representation in Java</t>
  </si>
  <si>
    <t>https://takeuforward.org/binary-tree/binary-tree-representation-in-java/</t>
  </si>
  <si>
    <t>Pre, Post, Inorder in one traversal</t>
  </si>
  <si>
    <t>https://takeuforward.org/data-structure/preorder-inorder-postorder-traversals-in-one-traversal/</t>
  </si>
  <si>
    <t>Preorder Traversal</t>
  </si>
  <si>
    <t>https://leetcode.com/problems/binary-tree-preorder-traversal/</t>
  </si>
  <si>
    <t>Inorder Traversal of Binary Tree</t>
  </si>
  <si>
    <t>https://leetcode.com/problems/binary-tree-inorder-traversal/</t>
  </si>
  <si>
    <t>Postorder Traversal</t>
  </si>
  <si>
    <t>https://leetcode.com/problems/binary-tree-postorder-traversal/</t>
  </si>
  <si>
    <t>Level Order Traversal</t>
  </si>
  <si>
    <t>https://leetcode.com/problems/binary-tree-level-order-traversal/</t>
  </si>
  <si>
    <t>Iterative Preorder Traversal of Binary Tree</t>
  </si>
  <si>
    <t>Iterative Inorder Traversal of Binary Tree</t>
  </si>
  <si>
    <t>Post-order Traversal of Binary Tree using 2 stack</t>
  </si>
  <si>
    <t>Post-order Traversal of Binary Tree using 1 stack</t>
  </si>
  <si>
    <t>Preorder, Inorder, and Postorder Traversal in one Traversal</t>
  </si>
  <si>
    <t>Maximum Depth in BT</t>
  </si>
  <si>
    <t>https://leetcode.com/problems/maximum-depth-of-binary-tree/</t>
  </si>
  <si>
    <t>Check for balanced binary tree</t>
  </si>
  <si>
    <t>https://leetcode.com/problems/balanced-binary-tree/</t>
  </si>
  <si>
    <t>Diameter of Binary Tree</t>
  </si>
  <si>
    <t>https://leetcode.com/problems/diameter-of-binary-tree/</t>
  </si>
  <si>
    <t>Maximum path sum</t>
  </si>
  <si>
    <t>https://leetcode.com/problems/binary-tree-maximum-path-sum/</t>
  </si>
  <si>
    <t>Check if two trees are identical or not</t>
  </si>
  <si>
    <t>https://leetcode.com/problems/same-tree/</t>
  </si>
  <si>
    <t>Zig Zag or Spiral Traversal</t>
  </si>
  <si>
    <t>https://leetcode.com/problems/binary-tree-zigzag-level-order-traversal/</t>
  </si>
  <si>
    <t>Boundary Traversal</t>
  </si>
  <si>
    <t>https://leetcode.com/problems/boundary-of-binary-tree/</t>
  </si>
  <si>
    <t>Vertical Order Traversal</t>
  </si>
  <si>
    <t>https://leetcode.com/problems/vertical-order-traversal-of-a-binary-tree/</t>
  </si>
  <si>
    <t>Top View of BT</t>
  </si>
  <si>
    <t>https://takeuforward.org/data-structure/top-view-of-a-binary-tree/</t>
  </si>
  <si>
    <t>Bottom view of BT</t>
  </si>
  <si>
    <t>https://takeuforward.org/data-structure/bottom-view-of-a-binary-tree/</t>
  </si>
  <si>
    <t>Right/Left View of Binary Tree</t>
  </si>
  <si>
    <t>https://leetcode.com/problems/binary-tree-right-side-view/</t>
  </si>
  <si>
    <t>Symmetric Binary Tree</t>
  </si>
  <si>
    <t>https://leetcode.com/problems/symmetric-tree/</t>
  </si>
  <si>
    <t>Print root to leaf path in BT</t>
  </si>
  <si>
    <t>https://takeuforward.org/data-structure/print-root-to-node-path-in-a-binary-tree/</t>
  </si>
  <si>
    <t>LCA in BT</t>
  </si>
  <si>
    <t>https://leetcode.com/problems/lowest-common-ancestor-of-a-binary-tree/</t>
  </si>
  <si>
    <t>Maximum Width of BT</t>
  </si>
  <si>
    <t>https://leetcode.com/problems/maximum-width-of-binary-tree/</t>
  </si>
  <si>
    <t>Children Sum Property in Binary Tree</t>
  </si>
  <si>
    <t>https://takeuforward.org/data-structure/check-for-children-sum-property-in-a-binary-tree/</t>
  </si>
  <si>
    <t>Print all nodes at a distance of K in BT</t>
  </si>
  <si>
    <t>https://leetcode.com/problems/all-nodes-distance-k-in-binary-tree/</t>
  </si>
  <si>
    <t>Minimum time taken to burn the BT from a given Node</t>
  </si>
  <si>
    <t>https://takeuforward.org/data-structure/minimum-time-taken-to-burn-the-binary-tree-from-a-node</t>
  </si>
  <si>
    <t>Count total nodes in a complete BT</t>
  </si>
  <si>
    <t>https://leetcode.com/problems/count-complete-tree-nodes/</t>
  </si>
  <si>
    <t>Requirements needed to construct a unique BT</t>
  </si>
  <si>
    <t>https://takeuforward.org/plus/dsa/problems/requirements-needed-to-construct-a-unique-bt</t>
  </si>
  <si>
    <t>Construct a BT from Preorder and Inorder</t>
  </si>
  <si>
    <t>https://leetcode.com/problems/construct-binary-tree-from-preorder-and-inorder-traversal/</t>
  </si>
  <si>
    <t>Construct the Binary Tree from Postorder and Inorder Traversal</t>
  </si>
  <si>
    <t>https://leetcode.com/problems/construct-binary-tree-from-inorder-and-postorder-traversal/</t>
  </si>
  <si>
    <t>Serialize and De-serialize BT</t>
  </si>
  <si>
    <t>https://leetcode.com/problems/serialize-and-deserialize-binary-tree/</t>
  </si>
  <si>
    <t>Morris Preorder Traversal of a Binary Tree</t>
  </si>
  <si>
    <t>Morris Inorder Traversal of a Binary Tree</t>
  </si>
  <si>
    <t>Flatten Binary Tree to Linked List</t>
  </si>
  <si>
    <t>https://leetcode.com/problems/flatten-binary-tree-to-linked-list/</t>
  </si>
  <si>
    <t>Introduction to BST</t>
  </si>
  <si>
    <t>https://takeuforward.org/binary-search-tree/introduction-to-binary-search-trees/</t>
  </si>
  <si>
    <t>Search in a Binary Search Tree</t>
  </si>
  <si>
    <t>https://leetcode.com/problems/search-in-a-binary-search-tree/</t>
  </si>
  <si>
    <t>Find Min/Max in BST</t>
  </si>
  <si>
    <t>https://takeuforward.org/data-structure/find-minmax-in-a-bst</t>
  </si>
  <si>
    <t>Floor and Ceil in a BST</t>
  </si>
  <si>
    <t>https://takeuforward.org/plus/dsa/problems/floor-and-ceil-in-a-bst</t>
  </si>
  <si>
    <t>Floor in a Binary Search Tree</t>
  </si>
  <si>
    <t>https://takeuforward.org/binary-search-tree/floor-in-a-binary-search-tree/</t>
  </si>
  <si>
    <t>Insert a given node in BST</t>
  </si>
  <si>
    <t>https://leetcode.com/problems/insert-into-a-binary-search-tree/</t>
  </si>
  <si>
    <t>Delete a node in BST</t>
  </si>
  <si>
    <t>https://leetcode.com/problems/delete-node-in-a-bst/</t>
  </si>
  <si>
    <t>Kth Smallest and Largest element in BST</t>
  </si>
  <si>
    <t>https://leetcode.com/problems/kth-smallest-element-in-a-bst/</t>
  </si>
  <si>
    <t>Check if a tree is a BST or not</t>
  </si>
  <si>
    <t>https://leetcode.com/problems/validate-binary-search-tree/</t>
  </si>
  <si>
    <t>LCA in BST</t>
  </si>
  <si>
    <t>https://leetcode.com/problems/lowest-common-ancestor-of-a-binary-search-tree/</t>
  </si>
  <si>
    <t>Construct a BST from a preorder traversal</t>
  </si>
  <si>
    <t>https://leetcode.com/problems/construct-binary-search-tree-from-preorder-traversal/</t>
  </si>
  <si>
    <t>Inorder Successor/Predecessor in BST</t>
  </si>
  <si>
    <t>https://leetcode.com/problems/inorder-successor-in-bst/</t>
  </si>
  <si>
    <t>Merge 2 BST's</t>
  </si>
  <si>
    <t>https://leetcode.com/problems/binary-search-tree-iterator/</t>
  </si>
  <si>
    <t>Two Sum In BST | Check if there exists a pair with Sum K</t>
  </si>
  <si>
    <t>https://leetcode.com/problems/two-sum-iv-input-is-a-bst/</t>
  </si>
  <si>
    <t>Correct BST with two nodes swapped</t>
  </si>
  <si>
    <t>https://leetcode.com/problems/recover-binary-search-tree/</t>
  </si>
  <si>
    <t>Largest BST in Binary Tree</t>
  </si>
  <si>
    <t>https://leetcode.com/problems/maximum-sum-bst-in-binary-tree/</t>
  </si>
  <si>
    <t>Introduction to Graph</t>
  </si>
  <si>
    <t>https://takeuforward.org/data-structure/graph-representation-in-java</t>
  </si>
  <si>
    <t>Graph Representation | C++</t>
  </si>
  <si>
    <t>https://takeuforward.org/graph/graph-representation-in-c/</t>
  </si>
  <si>
    <t>Graph Representation | Java</t>
  </si>
  <si>
    <t>Connected Components</t>
  </si>
  <si>
    <t>https://takeuforward.org/data-structure/connected-components</t>
  </si>
  <si>
    <t>Traversal Techniques</t>
  </si>
  <si>
    <t>https://takeuforward.org/data-structure/depth-first-search-dfs/</t>
  </si>
  <si>
    <t>DFS</t>
  </si>
  <si>
    <t>Number of provinces</t>
  </si>
  <si>
    <t>https://leetcode.com/problems/number-of-provinces/#:~:text=A%20province%20is%20a%20group,the%20total%20number%20of%20provinces.</t>
  </si>
  <si>
    <t>Connected Components Problem in Matrix</t>
  </si>
  <si>
    <t>Rotten Oranges</t>
  </si>
  <si>
    <t>https://leetcode.com/problems/rotting-oranges/</t>
  </si>
  <si>
    <t>Flood fill algorithm</t>
  </si>
  <si>
    <t>https://leetcode.com/problems/flood-fill/</t>
  </si>
  <si>
    <t>Cycle Detection in Undirected Graph (bfs)</t>
  </si>
  <si>
    <t>https://takeuforward.org/data-structure/detect-cycle-in-an-undirected-graph-using-bfs/</t>
  </si>
  <si>
    <t>Detect a cycle in an undirected graph</t>
  </si>
  <si>
    <t>https://leetcode.com/problems/course-schedule/</t>
  </si>
  <si>
    <t>Distance of nearest cell having one</t>
  </si>
  <si>
    <t>https://leetcode.com/problems/01-matrix/</t>
  </si>
  <si>
    <t>Surrounded Regions</t>
  </si>
  <si>
    <t>https://leetcode.com/problems/surrounded-regions/</t>
  </si>
  <si>
    <t>Number of enclaves</t>
  </si>
  <si>
    <t>https://leetcode.com/problems/number-of-enclaves/</t>
  </si>
  <si>
    <t>Word ladder I</t>
  </si>
  <si>
    <t>https://leetcode.com/problems/word-ladder/</t>
  </si>
  <si>
    <t>Word ladder II</t>
  </si>
  <si>
    <t>https://leetcode.com/problems/word-ladder-ii/</t>
  </si>
  <si>
    <t>Number of islands</t>
  </si>
  <si>
    <t>https://leetcode.com/problems/number-of-islands/</t>
  </si>
  <si>
    <t>Bipartite Graph (DFS)</t>
  </si>
  <si>
    <t>https://leetcode.com/problems/is-graph-bipartite/</t>
  </si>
  <si>
    <t>Cycle Detection in Directed Graph (DFS)</t>
  </si>
  <si>
    <t>https://leetcode.com/problems/course-schedule-ii/discuss/293048/detecting-cycle-in-directed-graph-problem</t>
  </si>
  <si>
    <t>Topo Sort</t>
  </si>
  <si>
    <t>https://takeuforward.org/data-structure/topological-sort-algorithm-dfs-g-21/</t>
  </si>
  <si>
    <t>Topological sort or Kahn's algorithm</t>
  </si>
  <si>
    <t>Detect a cycle in a directed graph</t>
  </si>
  <si>
    <t>Course Schedule I</t>
  </si>
  <si>
    <t>Course Schedule II</t>
  </si>
  <si>
    <t>https://leetcode.com/problems/course-schedule-ii/</t>
  </si>
  <si>
    <t>Find eventual safe states</t>
  </si>
  <si>
    <t>https://leetcode.com/problems/find-eventual-safe-states/</t>
  </si>
  <si>
    <t>Alien Dictionary</t>
  </si>
  <si>
    <t>https://leetcode.com/problems/alien-dictionary/solution/</t>
  </si>
  <si>
    <t>Shortest path in undirected graph with unit weights</t>
  </si>
  <si>
    <t>https://takeuforward.org/data-structure/shortest-path-in-undirected-graph-with-unit-distance-g-28/</t>
  </si>
  <si>
    <t>Shortest path in DAG</t>
  </si>
  <si>
    <t>https://takeuforward.org/data-structure/shortest-path-in-directed-acyclic-graph-topological-sort-g-27/</t>
  </si>
  <si>
    <t>Djisktra's Algorithm</t>
  </si>
  <si>
    <t>https://takeuforward.org/data-structure/dijkstras-algorithm-using-set-g-33/</t>
  </si>
  <si>
    <t>Why priority Queue is used in Djisktra's Algorithm</t>
  </si>
  <si>
    <t>https://takeuforward.org/data-structure/dijkstras-algorithm-using-priority-queue-g-32/</t>
  </si>
  <si>
    <t>Shortest Distance in a Binary Maze</t>
  </si>
  <si>
    <t>https://leetcode.com/problems/shortest-path-in-binary-matrix/</t>
  </si>
  <si>
    <t>Path with minimum effort</t>
  </si>
  <si>
    <t>https://leetcode.com/problems/path-with-minimum-effort/</t>
  </si>
  <si>
    <t>Cheapest flight within K stops</t>
  </si>
  <si>
    <t>https://leetcode.com/problems/cheapest-flights-within-k-stops/</t>
  </si>
  <si>
    <t>Network Delay Time</t>
  </si>
  <si>
    <t>https://leetcode.com/problems/network-delay-time/</t>
  </si>
  <si>
    <t>Number of ways to arrive at destination</t>
  </si>
  <si>
    <t>https://leetcode.com/problems/number-of-ways-to-arrive-at-destination/</t>
  </si>
  <si>
    <t>Minimum multiplications to reach end</t>
  </si>
  <si>
    <t>https://takeuforward.org/graph/g-39-minimum-multiplications-to-reach-end/</t>
  </si>
  <si>
    <t>Bellman Ford Algorithm</t>
  </si>
  <si>
    <t>https://takeuforward.org/data-structure/bellman-ford-algorithm-g-41/</t>
  </si>
  <si>
    <t>Floyd warshall algorithm</t>
  </si>
  <si>
    <t>https://takeuforward.org/data-structure/floyd-warshall-algorithm-g-42/</t>
  </si>
  <si>
    <t>Find the city with the smallest number of neighbors</t>
  </si>
  <si>
    <t>https://leetcode.com/problems/find-the-city-with-the-smallest-number-of-neighbors-at-a-threshold-distance/</t>
  </si>
  <si>
    <t>MST theory</t>
  </si>
  <si>
    <t>https://takeuforward.org/data-structure/minimum-spanning-tree-theory-g-44/</t>
  </si>
  <si>
    <t>Prim's Algorithm</t>
  </si>
  <si>
    <t>https://takeuforward.org/data-structure/prims-algorithm-minimum-spanning-tree-c-and-java-g-45/</t>
  </si>
  <si>
    <t>Disjoint Set</t>
  </si>
  <si>
    <t>https://takeuforward.org/data-structure/disjoint-set-union-by-rank-union-by-size-path-compression-g-46/</t>
  </si>
  <si>
    <t>Find the MST weight</t>
  </si>
  <si>
    <t>Number of operations to make network connected</t>
  </si>
  <si>
    <t>https://leetcode.com/problems/number-of-operations-to-make-network-connected/</t>
  </si>
  <si>
    <t>Most stones removed with same row or column</t>
  </si>
  <si>
    <t>https://leetcode.com/problems/most-stones-removed-with-same-row-or-column/</t>
  </si>
  <si>
    <t>Accounts merge</t>
  </si>
  <si>
    <t>https://leetcode.com/problems/accounts-merge/</t>
  </si>
  <si>
    <t>Number of islands II</t>
  </si>
  <si>
    <t>https://leetcode.com/problems/number-of-islands-ii/</t>
  </si>
  <si>
    <t>Making a large island</t>
  </si>
  <si>
    <t>https://leetcode.com/problems/making-a-large-island/</t>
  </si>
  <si>
    <t>Swim in Rising Water</t>
  </si>
  <si>
    <t>https://leetcode.com/problems/swim-in-rising-water/</t>
  </si>
  <si>
    <t>Bridges in graph</t>
  </si>
  <si>
    <t>https://leetcode.com/problems/critical-connections-in-a-network/discuss/382385/find-bridges-in-a-graph</t>
  </si>
  <si>
    <t>Articulation point in graph</t>
  </si>
  <si>
    <t>https://takeuforward.org/data-structure/articulation-point-in-graph-g-56/</t>
  </si>
  <si>
    <t>Kosaraju's algorithm</t>
  </si>
  <si>
    <t>https://leetcode.com/problems/maximum-number-of-non-overlapping-substrings/discuss/766485/kosaraju-algorithm-on</t>
  </si>
  <si>
    <t>Introduction to DP</t>
  </si>
  <si>
    <t>https://takeuforward.org/data-structure/dynamic-programming-introduction/</t>
  </si>
  <si>
    <t>Climbing stairs</t>
  </si>
  <si>
    <t>https://leetcode.com/problems/climbing-stairs/</t>
  </si>
  <si>
    <t>Frog Jump</t>
  </si>
  <si>
    <t>https://takeuforward.org/data-structure/dynamic-programming-frog-jump-dp-3/</t>
  </si>
  <si>
    <t>Frog jump with K distances</t>
  </si>
  <si>
    <t>https://takeuforward.org/data-structure/dynamic-programming-frog-jump-with-k-distances-dp-4/</t>
  </si>
  <si>
    <t>Maximum sum of non adjacent elements</t>
  </si>
  <si>
    <t>https://leetcode.com/problems/house-robber/</t>
  </si>
  <si>
    <t>House robber</t>
  </si>
  <si>
    <t>https://leetcode.com/problems/house-robber-ii/</t>
  </si>
  <si>
    <t>Ninja's training</t>
  </si>
  <si>
    <t>https://takeuforward.org/data-structure/dynamic-programming-ninjas-training-dp-7/</t>
  </si>
  <si>
    <t>Grid Unique Paths : DP on Grids (DP8)</t>
  </si>
  <si>
    <t>https://leetcode.com/problems/unique-paths/</t>
  </si>
  <si>
    <t>Unique paths II</t>
  </si>
  <si>
    <t>https://leetcode.com/problems/unique-paths-ii/</t>
  </si>
  <si>
    <t>Minimum Falling Path Sum</t>
  </si>
  <si>
    <t>https://leetcode.com/problems/minimum-path-sum/</t>
  </si>
  <si>
    <t>Triangle</t>
  </si>
  <si>
    <t>https://leetcode.com/problems/triangle/</t>
  </si>
  <si>
    <t>Ninja and his Friends</t>
  </si>
  <si>
    <t>https://takeuforward.org/data-structure/3-d-dp-ninja-and-his-friends-dp-13/</t>
  </si>
  <si>
    <t>Subset sum equal to target (DP- 14)</t>
  </si>
  <si>
    <t>https://takeuforward.org/data-structure/subset-sum-equal-to-target-dp-14/</t>
  </si>
  <si>
    <t>Partition equal subset sum</t>
  </si>
  <si>
    <t>https://leetcode.com/problems/partition-equal-subset-sum/</t>
  </si>
  <si>
    <t>Partition a set into two subsets with minimum absolute sum difference</t>
  </si>
  <si>
    <t>https://leetcode.com/problems/partition-array-into-two-arrays-to-minimize-sum-difference/</t>
  </si>
  <si>
    <t>Count subsets with sum K</t>
  </si>
  <si>
    <t>https://takeuforward.org/data-structure/count-subsets-with-sum-k-dp-17/</t>
  </si>
  <si>
    <t>Count partitions with given difference</t>
  </si>
  <si>
    <t>https://takeuforward.org/data-structure/count-partitions-with-given-difference-dp-18/</t>
  </si>
  <si>
    <t>Minimum Coins (DP - 20)</t>
  </si>
  <si>
    <t>https://leetcode.com/problems/coin-change/</t>
  </si>
  <si>
    <t>Target sum</t>
  </si>
  <si>
    <t>https://leetcode.com/problems/target-sum/</t>
  </si>
  <si>
    <t>Coin Change 2 (DP - 22)</t>
  </si>
  <si>
    <t>https://leetcode.com/problems/coin-change-2/</t>
  </si>
  <si>
    <t>Unbounded knapsack</t>
  </si>
  <si>
    <t>https://takeuforward.org/data-structure/unbounded-knapsack-dp-23/</t>
  </si>
  <si>
    <t>Rod Cutting Problem | (DP - 24)</t>
  </si>
  <si>
    <t>https://takeuforward.org/data-structure/rod-cutting-problem-dp-24/</t>
  </si>
  <si>
    <t>Longest common subsequence</t>
  </si>
  <si>
    <t>https://takeuforward.org/data-structure/print-longest-common-subsequence-dp-26/</t>
  </si>
  <si>
    <t>Print Longest Common Subsequence | (DP - 26)</t>
  </si>
  <si>
    <t>Longest common substring</t>
  </si>
  <si>
    <t>https://takeuforward.org/data-structure/longest-common-substring-dp-27/</t>
  </si>
  <si>
    <t>Longest palindromic subsequence</t>
  </si>
  <si>
    <t>https://leetcode.com/problems/longest-palindromic-subsequence/</t>
  </si>
  <si>
    <t>Minimum insertions to make string palindrome | DP-29</t>
  </si>
  <si>
    <t>https://leetcode.com/problems/minimum-insertion-steps-to-make-a-string-palindrome/</t>
  </si>
  <si>
    <t>Minimum insertions or deletions to convert string A to B</t>
  </si>
  <si>
    <t>https://leetcode.com/problems/delete-operation-for-two-strings/</t>
  </si>
  <si>
    <t>Shortest common supersequence</t>
  </si>
  <si>
    <t>https://leetcode.com/problems/shortest-common-supersequence/</t>
  </si>
  <si>
    <t>Distinct subsequences</t>
  </si>
  <si>
    <t>https://leetcode.com/problems/distinct-subsequences/</t>
  </si>
  <si>
    <t>Edit distance</t>
  </si>
  <si>
    <t>https://leetcode.com/problems/edit-distance/</t>
  </si>
  <si>
    <t>Wildcard matching</t>
  </si>
  <si>
    <t>https://leetcode.com/problems/wildcard-matching/</t>
  </si>
  <si>
    <t>Best time to buy and sell stock</t>
  </si>
  <si>
    <t>Best time to buy and sell stock II</t>
  </si>
  <si>
    <t>https://leetcode.com/problems/best-time-to-buy-and-sell-stock-ii/</t>
  </si>
  <si>
    <t>Best time to buy and sell stock III</t>
  </si>
  <si>
    <t>https://leetcode.com/problems/best-time-to-buy-and-sell-stock-iii/description/</t>
  </si>
  <si>
    <t>Best time to buy and sell stock IV</t>
  </si>
  <si>
    <t>https://leetcode.com/problems/best-time-to-buy-and-sell-stock-iv/</t>
  </si>
  <si>
    <t>Best Time to Buy and Sell Stock with Cooldown</t>
  </si>
  <si>
    <t>https://leetcode.com/problems/best-time-to-buy-and-sell-stock-with-cooldown/</t>
  </si>
  <si>
    <t>Best time to buy and sell stock with transaction fees</t>
  </si>
  <si>
    <t>https://leetcode.com/problems/best-time-to-buy-and-sell-stock-with-transaction-fee/</t>
  </si>
  <si>
    <t>Longest Increasing Subsequence</t>
  </si>
  <si>
    <t>https://takeuforward.org/data-structure/longest-increasing-subsequence-binary-search-dp-43/</t>
  </si>
  <si>
    <t>Print Longest Increasing Subsequence</t>
  </si>
  <si>
    <t>https://takeuforward.org/data-structure/printing-longest-increasing-subsequence-dp-42/</t>
  </si>
  <si>
    <t>Longest Increasing Subsequence |(DP-43)</t>
  </si>
  <si>
    <t>Largest Divisible Subset</t>
  </si>
  <si>
    <t>https://leetcode.com/problems/largest-divisible-subset/</t>
  </si>
  <si>
    <t>Longest String Chain</t>
  </si>
  <si>
    <t>https://leetcode.com/problems/longest-string-chain/</t>
  </si>
  <si>
    <t>Longest Bitonic Subsequence</t>
  </si>
  <si>
    <t>https://takeuforward.org/data-structure/longest-bitonic-subsequence-dp-46/</t>
  </si>
  <si>
    <t>Number of Longest Increasing Subsequences</t>
  </si>
  <si>
    <t>https://leetcode.com/problems/number-of-longest-increasing-subsequence/</t>
  </si>
  <si>
    <t>Matrix chain multiplication</t>
  </si>
  <si>
    <t>https://takeuforward.org/dynamic-programming/matrix-chain-multiplication-dp-48/</t>
  </si>
  <si>
    <t>Matrix Chain Multiplication | Bottom-Up|(DP-49)</t>
  </si>
  <si>
    <t>https://takeuforward.org/data-structure/matrix-chain-multiplication-tabulation-method-dp-49/</t>
  </si>
  <si>
    <t>Minimum cost to cut the stick</t>
  </si>
  <si>
    <t>https://leetcode.com/problems/minimum-cost-to-cut-a-stick/</t>
  </si>
  <si>
    <t>Burst balloons</t>
  </si>
  <si>
    <t>https://leetcode.com/problems/burst-balloons/</t>
  </si>
  <si>
    <t>Different Ways to Evaluate a Boolean Expression</t>
  </si>
  <si>
    <t>https://leetcode.com/problems/parsing-a-boolean-expression/</t>
  </si>
  <si>
    <t>Palindrome partitioning II</t>
  </si>
  <si>
    <t>https://leetcode.com/problems/palindrome-partitioning-ii/</t>
  </si>
  <si>
    <t>Partition Array for Maximum Sum</t>
  </si>
  <si>
    <t>https://leetcode.com/problems/partition-array-for-maximum-sum/</t>
  </si>
  <si>
    <t>Maximum Rectangle Area with all 1's|(DP-55)</t>
  </si>
  <si>
    <t>Count Square Submatrices with All Ones|(DP-56)</t>
  </si>
  <si>
    <t>https://leetcode.com/problems/count-square-submatrices-with-all-ones/</t>
  </si>
  <si>
    <t>Trie Implementation and Operations</t>
  </si>
  <si>
    <t>https://leetcode.com/problems/implement-trie-prefix-tree/</t>
  </si>
  <si>
    <t>Trie Implementation and Advanced Operations</t>
  </si>
  <si>
    <t>https://takeuforward.org/data-structure/implement-trie-ii/</t>
  </si>
  <si>
    <t>Longest Word with All Prefixes</t>
  </si>
  <si>
    <t>https://takeuforward.org/plus/dsa/problems/longest-word-with-all-prefixes</t>
  </si>
  <si>
    <t>Number of distinct substrings in a string</t>
  </si>
  <si>
    <t>https://takeuforward.org/data-structure/number-of-distinct-substrings-in-a-string-using-trie/</t>
  </si>
  <si>
    <t>Bit PreRequisites for TRIE Problems</t>
  </si>
  <si>
    <t>Maximum XOR of two numbers in an array</t>
  </si>
  <si>
    <t>https://leetcode.com/problems/maximum-xor-of-two-numbers-in-an-array/</t>
  </si>
  <si>
    <t>Maximum Xor with an element from an array</t>
  </si>
  <si>
    <t>https://leetcode.com/problems/maximum-xor-with-an-element-from-array/</t>
  </si>
  <si>
    <t>Minimum number of bracket reversals to make an expression balanced</t>
  </si>
  <si>
    <t>https://leetcode.com/problems/minimum-add-to-make-parentheses-valid/</t>
  </si>
  <si>
    <t>Count and say</t>
  </si>
  <si>
    <t>https://leetcode.com/problems/count-and-say/</t>
  </si>
  <si>
    <t>Hashing In Strings | Theory</t>
  </si>
  <si>
    <t>https://takeuforward.org/data-structure/hashing-in-strings</t>
  </si>
  <si>
    <t>Rabin Karp Algorithm</t>
  </si>
  <si>
    <t>https://leetcode.com/problems/repeated-string-match/discuss/416144/Rabin-Karp-algorithm-C%2B%2B-implementation</t>
  </si>
  <si>
    <t>Z function</t>
  </si>
  <si>
    <t>KMP Algorithm or LPS array</t>
  </si>
  <si>
    <t>https://leetcode.com/problems/implement-strstr/</t>
  </si>
  <si>
    <t>Shortest Palindrome</t>
  </si>
  <si>
    <t>Longest happy prefix</t>
  </si>
  <si>
    <t>https://leetcode.com/problems/longest-happy-prefix/</t>
  </si>
  <si>
    <t>Count Palindromic Subsequences</t>
  </si>
  <si>
    <t>https://leetcode.com/problems/palindromic-substrings/</t>
  </si>
  <si>
    <t>Handwritten Notes</t>
  </si>
  <si>
    <t>Apna College Solution</t>
  </si>
  <si>
    <t>https://www.youtube.com/watch?v=VTLCoHnyACE&amp;list=PLfqMhTWNBTe137I_EPQd34TsgV6IO55pt&amp;index=1</t>
  </si>
  <si>
    <t>https://www.youtube.com/watch?v=Dxu7GKtdbnA&amp;list=PLfqMhTWNBTe137I_EPQd34TsgV6IO55pt&amp;index=2</t>
  </si>
  <si>
    <t>https://www.youtube.com/watch?v=qR9U6bKxJ7g&amp;list=PLfqMhTWNBTe137I_EPQd34TsgV6IO55pt&amp;index=3</t>
  </si>
  <si>
    <t>https://www.youtube.com/watch?v=P08Z_NC8GuY&amp;list=PLfqMhTWNBTe137I_EPQd34TsgV6IO55pt&amp;index=5</t>
  </si>
  <si>
    <t>https://www.youtube.com/watch?v=PwKv8fOcriM&amp;list=PLfqMhTWNBTe137I_EPQd34TsgV6IO55pt&amp;index=12</t>
  </si>
  <si>
    <t>https://www.youtube.com/watch?v=rga_q2N7vU8&amp;list=PLfqMhTWNBTe137I_EPQd34TsgV6IO55pt&amp;index=4</t>
  </si>
  <si>
    <t>https://www.youtube.com/watch?v=okhdtEk1iKk&amp;list=PLfqMhTWNBTe137I_EPQd34TsgV6IO55pt&amp;index=27</t>
  </si>
  <si>
    <t>https://www.youtube.com/watch?v=Y4KdgqV1IqA&amp;list=PLfqMhTWNBTe137I_EPQd34TsgV6IO55pt&amp;index=34</t>
  </si>
  <si>
    <t>https://www.youtube.com/watch?v=dSRFgEs3a6A&amp;list=PLfqMhTWNBTe137I_EPQd34TsgV6IO55pt&amp;index=30</t>
  </si>
  <si>
    <t>https://www.youtube.com/watch?v=4iT-GhvSKzc&amp;list=PLfqMhTWNBTe137I_EPQd34TsgV6IO55pt&amp;index=43</t>
  </si>
  <si>
    <t>https://www.youtube.com/watch?v=1jCFUv-Xlqo&amp;list=PLfqMhTWNBTe137I_EPQd34TsgV6IO55pt&amp;index=24</t>
  </si>
  <si>
    <t>https://www.youtube.com/watch?v=cQDtOBTy7_Y&amp;list=PLfqMhTWNBTe137I_EPQd34TsgV6IO55pt&amp;index=51</t>
  </si>
  <si>
    <t>https://www.youtube.com/watch?v=8MNB0Mba_Dc&amp;list=PLfqMhTWNBTe137I_EPQd34TsgV6IO55pt&amp;index=53</t>
  </si>
  <si>
    <t>https://www.youtube.com/watch?v=0Fxc_jKj2vo&amp;list=PLfqMhTWNBTe137I_EPQd34TsgV6IO55pt&amp;index=38</t>
  </si>
  <si>
    <t>https://www.youtube.com/watch?v=J48aGjfjYTI&amp;list=PLfqMhTWNBTe137I_EPQd34TsgV6IO55pt&amp;index=25</t>
  </si>
  <si>
    <t>https://www.youtube.com/watch?v=_xqIp2rj8bo&amp;list=PLfqMhTWNBTe137I_EPQd34TsgV6IO55pt&amp;index=11</t>
  </si>
  <si>
    <t>https://www.youtube.com/watch?v=9IZYqostl2M&amp;list=PLfqMhTWNBTe137I_EPQd34TsgV6IO55pt&amp;index=10</t>
  </si>
  <si>
    <t>https://www.youtube.com/watch?v=WBzZCm46mFo&amp;list=PLfqMhTWNBTe137I_EPQd34TsgV6IO55pt&amp;index=13</t>
  </si>
  <si>
    <t>https://www.youtube.com/watch?v=-1cLK6PaLsQ&amp;list=PLfqMhTWNBTe137I_EPQd34TsgV6IO55pt&amp;index=26</t>
  </si>
  <si>
    <t>https://www.youtube.com/watch?v=XMpdvwUObho&amp;list=PLfqMhTWNBTe137I_EPQd34TsgV6IO55pt&amp;index=37</t>
  </si>
  <si>
    <t>https://www.youtube.com/watch?v=KDH4mhFVvHw&amp;list=PLfqMhTWNBTe137I_EPQd34TsgV6IO55pt&amp;index=41</t>
  </si>
  <si>
    <t>https://www.youtube.com/watch?v=K-RsltkN63w&amp;list=PLfqMhTWNBTe137I_EPQd34TsgV6IO55pt&amp;index=39</t>
  </si>
  <si>
    <t>https://www.youtube.com/watch?v=X6sL8JTROLY&amp;list=PLfqMhTWNBTe137I_EPQd34TsgV6IO55pt&amp;index=40</t>
  </si>
  <si>
    <t>https://www.youtube.com/watch?v=ynnWDBTdVi0&amp;list=PLfqMhTWNBTe137I_EPQd34TsgV6IO55pt&amp;index=54</t>
  </si>
  <si>
    <t>https://www.youtube.com/watch?v=TbbSJrY5GqQ&amp;list=PLfqMhTWNBTe137I_EPQd34TsgV6IO55pt&amp;index=17</t>
  </si>
  <si>
    <t>https://www.youtube.com/watch?v=6WNZQBHWQJs&amp;list=PLfqMhTWNBTe137I_EPQd34TsgV6IO55pt&amp;index=18</t>
  </si>
  <si>
    <t>https://www.youtube.com/watch?v=qsbCBduIs40&amp;list=PLfqMhTWNBTe137I_EPQd34TsgV6IO55pt&amp;index=20</t>
  </si>
  <si>
    <t>https://www.youtube.com/watch?v=RjxD6UXGlhc&amp;list=PLfqMhTWNBTe137I_EPQd34TsgV6IO55pt&amp;index=19</t>
  </si>
  <si>
    <t>https://www.youtube.com/watch?v=7wOzDqsfXy0&amp;list=PLfqMhTWNBTe137I_EPQd34TsgV6IO55pt&amp;index=23</t>
  </si>
  <si>
    <t>https://www.youtube.com/watch?v=JRAByolWqhw&amp;list=PLfqMhTWNBTe137I_EPQd34TsgV6IO55pt&amp;index=21</t>
  </si>
  <si>
    <t>https://www.youtube.com/watch?v=srsFN5OHBgw&amp;list=PLfqMhTWNBTe137I_EPQd34TsgV6IO55pt&amp;index=22</t>
  </si>
  <si>
    <t>https://www.youtube.com/watch?v=LEFFjgt5i6w&amp;list=PLfqMhTWNBTe137I_EPQd34TsgV6IO55pt&amp;index=36</t>
  </si>
  <si>
    <t>https://www.youtube.com/watch?v=RitppzIdMCo&amp;list=PLfqMhTWNBTe137I_EPQd34TsgV6IO55pt&amp;index=32</t>
  </si>
  <si>
    <t>https://www.youtube.com/watch?v=LyuuqCVkP5I&amp;list=PLfqMhTWNBTe137I_EPQd34TsgV6IO55pt&amp;index=57</t>
  </si>
  <si>
    <t>https://www.youtube.com/watch?v=bO5DasTsaRQ&amp;list=PLfqMhTWNBTe137I_EPQd34TsgV6IO55pt&amp;index=63</t>
  </si>
  <si>
    <t>https://www.youtube.com/watch?v=nzaHG0dme4g&amp;list=PLfqMhTWNBTe137I_EPQd34TsgV6IO55pt&amp;index=59</t>
  </si>
  <si>
    <t>https://www.youtube.com/watch?v=R-CKBYnOv1U&amp;list=PLfqMhTWNBTe137I_EPQd34TsgV6IO55pt&amp;index=58</t>
  </si>
  <si>
    <t>https://www.youtube.com/watch?v=-1E8ZMS0gSs&amp;list=PLfqMhTWNBTe137I_EPQd34TsgV6IO55pt&amp;index=60</t>
  </si>
  <si>
    <t>https://www.youtube.com/watch?v=-swgIiMIlJo&amp;list=PLfqMhTWNBTe137I_EPQd34TsgV6IO55pt&amp;index=66</t>
  </si>
  <si>
    <t>https://www.youtube.com/watch?v=I8b0rff5F9M&amp;list=PLfqMhTWNBTe137I_EPQd34TsgV6IO55pt&amp;index=65</t>
  </si>
  <si>
    <t>https://www.youtube.com/watch?v=8ze7Zopdsaw&amp;list=PLfqMhTWNBTe137I_EPQd34TsgV6IO55pt&amp;index=62</t>
  </si>
  <si>
    <t>https://www.youtube.com/watch?v=pNzljlzDCiI&amp;list=PLfqMhTWNBTe137I_EPQd34TsgV6IO55pt&amp;index=44</t>
  </si>
  <si>
    <t>https://www.youtube.com/watch?v=jkgZw2WEaqA&amp;list=PLfqMhTWNBTe137I_EPQd34TsgV6IO55pt&amp;index=49</t>
  </si>
  <si>
    <t>https://www.youtube.com/watch?v=aZ0B1eWkSVU&amp;list=PLfqMhTWNBTe137I_EPQd34TsgV6IO55pt&amp;index=50</t>
  </si>
  <si>
    <t>https://www.youtube.com/watch?v=BdSJnIdR-4s&amp;list=PLfqMhTWNBTe137I_EPQd34TsgV6IO55pt&amp;index=46</t>
  </si>
  <si>
    <t>https://www.youtube.com/watch?v=D8Yze9CDDAw&amp;list=PLfqMhTWNBTe137I_EPQd34TsgV6IO55pt&amp;index=48</t>
  </si>
  <si>
    <t>https://www.youtube.com/watch?v=70cP3qtJp-s&amp;list=PLfqMhTWNBTe137I_EPQd34TsgV6IO55pt&amp;index=47</t>
  </si>
  <si>
    <t>https://www.youtube.com/watch?v=0X-fV-1ir9c&amp;list=PLfqMhTWNBTe137I_EPQd34TsgV6IO55pt&amp;index=68</t>
  </si>
  <si>
    <t>https://www.youtube.com/watch?v=Khf9v67Ya30&amp;list=PLfqMhTWNBTe137I_EPQd34TsgV6IO55pt&amp;index=79</t>
  </si>
  <si>
    <t>https://www.youtube.com/watch?v=sFvP5Ois0CE&amp;list=PLfqMhTWNBTe137I_EPQd34TsgV6IO55pt&amp;index=81</t>
  </si>
  <si>
    <t>https://www.youtube.com/watch?v=NlHupEeDXzY&amp;list=PLfqMhTWNBTe137I_EPQd34TsgV6IO55pt&amp;index=69</t>
  </si>
  <si>
    <t>https://www.youtube.com/watch?v=wHDm-N2m2XY&amp;list=PLfqMhTWNBTe137I_EPQd34TsgV6IO55pt&amp;index=73</t>
  </si>
  <si>
    <t>https://www.youtube.com/watch?v=NKbExYwvjb0&amp;list=PLfqMhTWNBTe137I_EPQd34TsgV6IO55pt&amp;index=71</t>
  </si>
  <si>
    <t>https://www.youtube.com/watch?v=If--3pm9K3U&amp;list=PLfqMhTWNBTe137I_EPQd34TsgV6IO55pt&amp;index=75</t>
  </si>
  <si>
    <t>https://www.youtube.com/watch?v=UHHp8USwx4M&amp;list=PLfqMhTWNBTe137I_EPQd34TsgV6IO55pt&amp;index=76</t>
  </si>
  <si>
    <t>https://www.youtube.com/watch?v=ysy1o-QEj3k&amp;list=PLfqMhTWNBTe137I_EPQd34TsgV6IO55pt&amp;index=74</t>
  </si>
  <si>
    <t>https://www.youtube.com/watch?v=XwG5cozqfaM&amp;list=PLfqMhTWNBTe137I_EPQd34TsgV6IO55pt&amp;index=83</t>
  </si>
  <si>
    <t>https://www.youtube.com/watch?v=01vBuZyMfqk&amp;list=PLfqMhTWNBTe137I_EPQd34TsgV6IO55pt&amp;index=70</t>
  </si>
  <si>
    <t>https://www.youtube.com/watch?v=OZPmEA_8FM8&amp;list=PLfqMhTWNBTe137I_EPQd34TsgV6IO55pt&amp;index=77</t>
  </si>
  <si>
    <t>https://www.youtube.com/watch?v=GsY6y0iPaHw&amp;list=PLfqMhTWNBTe137I_EPQd34TsgV6IO55pt&amp;index=78</t>
  </si>
  <si>
    <t>https://www.youtube.com/watch?v=eKJrXBCRuNQ&amp;list=PLfqMhTWNBTe137I_EPQd34TsgV6IO55pt&amp;index=85</t>
  </si>
  <si>
    <t>https://www.youtube.com/watch?v=7tzHzN_Ehus&amp;list=PLfqMhTWNBTe137I_EPQd34TsgV6IO55pt&amp;index=86</t>
  </si>
  <si>
    <t>https://www.youtube.com/watch?v=aPyDPImR5UM&amp;list=PLfqMhTWNBTe137I_EPQd34TsgV6IO55pt&amp;index=88</t>
  </si>
  <si>
    <t>https://www.youtube.com/watch?v=tumW7jsjv68&amp;list=PLfqMhTWNBTe137I_EPQd34TsgV6IO55pt&amp;index=87</t>
  </si>
  <si>
    <t>https://www.youtube.com/watch?v=FGr-syrhvOA&amp;list=PLfqMhTWNBTe137I_EPQd34TsgV6IO55pt&amp;index=89</t>
  </si>
  <si>
    <t>https://www.youtube.com/watch?v=AWJD__CfM6A&amp;list=PLfqMhTWNBTe137I_EPQd34TsgV6IO55pt&amp;index=94</t>
  </si>
  <si>
    <t>https://www.youtube.com/watch?v=oX5D0uKOMck&amp;list=PLfqMhTWNBTe137I_EPQd34TsgV6IO55pt&amp;index=91</t>
  </si>
  <si>
    <t>https://www.youtube.com/watch?v=rhz-csskg_A&amp;list=PLfqMhTWNBTe137I_EPQd34TsgV6IO55pt&amp;index=95</t>
  </si>
  <si>
    <t>https://www.youtube.com/watch?v=33b1M980cCA&amp;list=PLfqMhTWNBTe137I_EPQd34TsgV6IO55pt&amp;index=92</t>
  </si>
  <si>
    <t>https://www.youtube.com/watch?v=PUfADhkq1LI&amp;list=PLfqMhTWNBTe137I_EPQd34TsgV6IO55pt&amp;index=96</t>
  </si>
  <si>
    <t>https://www.youtube.com/watch?v=dU2Z5HWSGM0&amp;list=PLfqMhTWNBTe137I_EPQd34TsgV6IO55pt&amp;index=97</t>
  </si>
  <si>
    <t>https://www.youtube.com/watch?v=RuF7dPfj27Q&amp;list=PLfqMhTWNBTe137I_EPQd34TsgV6IO55pt&amp;index=98</t>
  </si>
  <si>
    <t>https://www.youtube.com/watch?v=Kq4BbvIhj44&amp;list=PLfqMhTWNBTe137I_EPQd34TsgV6IO55pt&amp;index=102</t>
  </si>
  <si>
    <t>https://www.youtube.com/watch?v=dSBcCynP1nA&amp;list=PLfqMhTWNBTe137I_EPQd34TsgV6IO55pt&amp;index=100</t>
  </si>
  <si>
    <t>https://www.youtube.com/watch?v=ORxkZ12FrU4&amp;list=PLfqMhTWNBTe137I_EPQd34TsgV6IO55pt&amp;index=103</t>
  </si>
  <si>
    <t>https://www.youtube.com/watch?v=-n5Ur1wE5Jc&amp;list=PLfqMhTWNBTe137I_EPQd34TsgV6IO55pt&amp;index=104</t>
  </si>
  <si>
    <t>https://www.youtube.com/watch?v=IHNkql1tAnk&amp;list=PLfqMhTWNBTe137I_EPQd34TsgV6IO55pt&amp;index=110</t>
  </si>
  <si>
    <t>https://www.youtube.com/watch?v=AiKZjCuy2k4&amp;list=PLfqMhTWNBTe137I_EPQd34TsgV6IO55pt&amp;index=105</t>
  </si>
  <si>
    <t>https://www.youtube.com/watch?v=0KGzfij_SCk&amp;list=PLfqMhTWNBTe137I_EPQd34TsgV6IO55pt&amp;index=106</t>
  </si>
  <si>
    <t>https://www.youtube.com/watch?v=Pr-HFxp7npk&amp;list=PLfqMhTWNBTe137I_EPQd34TsgV6IO55pt&amp;index=107</t>
  </si>
  <si>
    <t>https://www.youtube.com/watch?v=RpgyCJBbl5E&amp;list=PLfqMhTWNBTe137I_EPQd34TsgV6IO55pt&amp;index=111</t>
  </si>
  <si>
    <t>https://www.youtube.com/watch?v=scQITTLgFJo&amp;list=PLfqMhTWNBTe137I_EPQd34TsgV6IO55pt&amp;index=112
https://www.youtube.com/watch?v=3czYbhac160&amp;list=PLfqMhTWNBTe137I_EPQd34TsgV6IO55pt&amp;index=113</t>
  </si>
  <si>
    <t>https://www.youtube.com/watch?v=3czYbhac160&amp;list=PLfqMhTWNBTe137I_EPQd34TsgV6IO55pt&amp;index=113</t>
  </si>
  <si>
    <t>https://www.youtube.com/watch?v=J1yCPIP-K8s&amp;list=PLfqMhTWNBTe137I_EPQd34TsgV6IO55pt&amp;index=130</t>
  </si>
  <si>
    <t>https://www.youtube.com/watch?v=AME6baBpswY&amp;list=PLfqMhTWNBTe137I_EPQd34TsgV6IO55pt&amp;index=116</t>
  </si>
  <si>
    <t>https://www.youtube.com/watch?v=RmXo5SWkhCs&amp;list=PLfqMhTWNBTe137I_EPQd34TsgV6IO55pt&amp;index=117</t>
  </si>
  <si>
    <t>https://www.youtube.com/watch?v=JI_e2RzARbM&amp;list=PLfqMhTWNBTe137I_EPQd34TsgV6IO55pt&amp;index=122</t>
  </si>
  <si>
    <t>https://www.youtube.com/watch?v=MIjOkApZ39g&amp;list=PLfqMhTWNBTe137I_EPQd34TsgV6IO55pt&amp;index=115</t>
  </si>
  <si>
    <t>https://www.youtube.com/watch?v=OZClCpPQDR4&amp;list=PLfqMhTWNBTe137I_EPQd34TsgV6IO55pt&amp;index=114</t>
  </si>
  <si>
    <t>https://www.youtube.com/watch?v=AcppN5XFt24&amp;list=PLfqMhTWNBTe137I_EPQd34TsgV6IO55pt&amp;index=118</t>
  </si>
  <si>
    <t>https://www.youtube.com/watch?v=0WIINUY12Yg&amp;list=PLfqMhTWNBTe137I_EPQd34TsgV6IO55pt&amp;index=119</t>
  </si>
  <si>
    <t>https://www.youtube.com/watch?v=BnQpaTZg6Sc&amp;list=PLfqMhTWNBTe137I_EPQd34TsgV6IO55pt&amp;index=123</t>
  </si>
  <si>
    <t>https://www.youtube.com/watch?v=37cJ38HadM4&amp;list=PLfqMhTWNBTe137I_EPQd34TsgV6IO55pt&amp;index=120</t>
  </si>
  <si>
    <t>https://www.youtube.com/watch?v=rZsgWxodGmM&amp;list=PLfqMhTWNBTe137I_EPQd34TsgV6IO55pt&amp;index=121</t>
  </si>
  <si>
    <t>https://www.youtube.com/watch?v=8gYBHjtjWBI&amp;list=PLfqMhTWNBTe137I_EPQd34TsgV6IO55pt&amp;index=124</t>
  </si>
  <si>
    <t>https://www.youtube.com/watch?v=CLmykzpeCCs&amp;list=PLfqMhTWNBTe137I_EPQd34TsgV6IO55pt&amp;index=132</t>
  </si>
  <si>
    <t>https://www.youtube.com/watch?v=3rFHlbJ7qKc&amp;list=PLfqMhTWNBTe137I_EPQd34TsgV6IO55pt&amp;index=125</t>
  </si>
  <si>
    <t>https://www.youtube.com/watch?v=iZBXd-vjHUA&amp;list=PLfqMhTWNBTe137I_EPQd34TsgV6IO55pt&amp;index=136</t>
  </si>
  <si>
    <t>https://www.youtube.com/watch?v=Sflh1z6cIMk&amp;list=PLfqMhTWNBTe137I_EPQd34TsgV6IO55pt&amp;index=127</t>
  </si>
  <si>
    <t>https://www.youtube.com/watch?v=nnrjWxWMo3E&amp;list=PLfqMhTWNBTe137I_EPQd34TsgV6IO55pt&amp;index=128</t>
  </si>
  <si>
    <t>https://www.youtube.com/watch?v=inoM6jwj1CA&amp;list=PLfqMhTWNBTe137I_EPQd34TsgV6IO55pt&amp;index=129</t>
  </si>
  <si>
    <t>https://www.youtube.com/watch?v=6h1SucBNxgc&amp;list=PLfqMhTWNBTe137I_EPQd34TsgV6IO55pt&amp;index=133</t>
  </si>
  <si>
    <t>https://www.youtube.com/watch?v=cn7pov3BEmg&amp;list=PLfqMhTWNBTe137I_EPQd34TsgV6IO55pt&amp;index=134</t>
  </si>
  <si>
    <t>https://www.youtube.com/watch?v=lqY8TE0P1S8&amp;list=PLfqMhTWNBTe137I_EPQd34TsgV6IO55pt&amp;index=135</t>
  </si>
  <si>
    <t>https://www.youtube.com/watch?v=8wmn7k1TTcI&amp;list=PLfqMhTWNBTe137I_EPQd34TsgV6IO55pt&amp;index=8
https://www.youtube.com/watch?v=MOSjYaVymcU&amp;list=PLfqMhTWNBTe137I_EPQd34TsgV6IO55pt&amp;index=29</t>
  </si>
  <si>
    <t>https://www.youtube.com/watch?v=xpy5NXiBFvA&amp;list=PLfqMhTWNBTe137I_EPQd34TsgV6IO55pt&amp;index=6
https://www.youtube.com/watch?v=r-u4uh3QvsQ&amp;list=PLfqMhTWNBTe137I_EPQd34TsgV6IO55pt&amp;index=7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</si>
</sst>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03C7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3" fillId="4" borderId="2" xfId="1" applyFill="1" applyBorder="1" applyAlignment="1">
      <alignment wrapText="1"/>
    </xf>
    <xf numFmtId="0" fontId="3" fillId="0" borderId="2" xfId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694F-0D1E-4250-8AC4-6D905457EB2D}">
  <dimension ref="A1:K475"/>
  <sheetViews>
    <sheetView showGridLines="0" tabSelected="1" workbookViewId="0">
      <pane ySplit="1" topLeftCell="A2" activePane="bottomLeft" state="frozenSplit"/>
      <selection pane="bottomLeft" activeCell="D1" sqref="D1:D1048576"/>
    </sheetView>
  </sheetViews>
  <sheetFormatPr defaultRowHeight="13.8" x14ac:dyDescent="0.3"/>
  <cols>
    <col min="1" max="1" width="10.77734375" style="1" customWidth="1"/>
    <col min="2" max="2" width="34.77734375" style="3" customWidth="1"/>
    <col min="3" max="3" width="46.77734375" style="3" customWidth="1"/>
    <col min="4" max="4" width="48.77734375" style="3" customWidth="1"/>
    <col min="5" max="5" width="36.77734375" style="3" customWidth="1"/>
    <col min="6" max="6" width="34.77734375" style="3" customWidth="1"/>
    <col min="7" max="7" width="36.77734375" style="3" customWidth="1"/>
    <col min="8" max="9" width="18.77734375" style="3" customWidth="1"/>
    <col min="10" max="10" width="42.77734375" style="3" customWidth="1"/>
    <col min="11" max="11" width="22.77734375" style="1" customWidth="1"/>
    <col min="12" max="16384" width="8.88671875" style="1"/>
  </cols>
  <sheetData>
    <row r="1" spans="1:11" s="2" customFormat="1" ht="30" customHeight="1" x14ac:dyDescent="0.3">
      <c r="A1" s="6" t="s">
        <v>0</v>
      </c>
      <c r="B1" s="7" t="s">
        <v>1</v>
      </c>
      <c r="C1" s="7" t="s">
        <v>2</v>
      </c>
      <c r="D1" s="7" t="s">
        <v>897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8" t="s">
        <v>896</v>
      </c>
    </row>
    <row r="2" spans="1:11" ht="34.049999999999997" customHeight="1" x14ac:dyDescent="0.3">
      <c r="A2" s="9">
        <v>1</v>
      </c>
      <c r="B2" s="10" t="s">
        <v>9</v>
      </c>
      <c r="C2" s="10" t="s">
        <v>10</v>
      </c>
      <c r="D2" s="10" t="s">
        <v>898</v>
      </c>
      <c r="E2" s="10"/>
      <c r="F2" s="10"/>
      <c r="G2" s="10"/>
      <c r="H2" s="11"/>
      <c r="I2" s="11"/>
      <c r="J2" s="10"/>
      <c r="K2" s="16" t="str">
        <f>HYPERLINK("file:///C:/Users/kapil/OneDrive/Desktop/CPPandScripting/CPP_Data/Striver_DSA_Handwritten_Explanations.md#problem-001-input-output","Notes P001")</f>
        <v>Notes P001</v>
      </c>
    </row>
    <row r="3" spans="1:11" ht="34.049999999999997" customHeight="1" x14ac:dyDescent="0.3">
      <c r="A3" s="12">
        <v>2</v>
      </c>
      <c r="B3" s="5" t="s">
        <v>11</v>
      </c>
      <c r="C3" s="5" t="s">
        <v>12</v>
      </c>
      <c r="D3" s="5" t="s">
        <v>899</v>
      </c>
      <c r="E3" s="5"/>
      <c r="F3" s="5"/>
      <c r="G3" s="5"/>
      <c r="H3" s="13"/>
      <c r="I3" s="13"/>
      <c r="J3" s="5"/>
      <c r="K3" s="17" t="str">
        <f>HYPERLINK("file:///C:/Users/kapil/OneDrive/Desktop/CPPandScripting/CPP_Data/Striver_DSA_Handwritten_Explanations.md#problem-002-cpp-basics","Notes P002")</f>
        <v>Notes P002</v>
      </c>
    </row>
    <row r="4" spans="1:11" ht="34.049999999999997" customHeight="1" x14ac:dyDescent="0.3">
      <c r="A4" s="9">
        <v>3</v>
      </c>
      <c r="B4" s="10" t="s">
        <v>13</v>
      </c>
      <c r="C4" s="10" t="s">
        <v>14</v>
      </c>
      <c r="D4" s="10" t="s">
        <v>900</v>
      </c>
      <c r="E4" s="10"/>
      <c r="F4" s="10"/>
      <c r="G4" s="10"/>
      <c r="H4" s="11"/>
      <c r="I4" s="11"/>
      <c r="J4" s="10"/>
      <c r="K4" s="16" t="str">
        <f>HYPERLINK("file:///C:/Users/kapil/OneDrive/Desktop/CPPandScripting/CPP_Data/Striver_DSA_Handwritten_Explanations.md#problem-003-if-elseif","Notes P003")</f>
        <v>Notes P003</v>
      </c>
    </row>
    <row r="5" spans="1:11" ht="34.049999999999997" customHeight="1" x14ac:dyDescent="0.3">
      <c r="A5" s="12">
        <v>4</v>
      </c>
      <c r="B5" s="5" t="s">
        <v>15</v>
      </c>
      <c r="C5" s="5" t="s">
        <v>16</v>
      </c>
      <c r="D5" s="5"/>
      <c r="E5" s="5"/>
      <c r="F5" s="5"/>
      <c r="G5" s="5"/>
      <c r="H5" s="13"/>
      <c r="I5" s="13"/>
      <c r="J5" s="5"/>
      <c r="K5" s="17" t="str">
        <f>HYPERLINK("file:///C:/Users/kapil/OneDrive/Desktop/CPPandScripting/CPP_Data/Striver_DSA_Handwritten_Explanations.md#problem-004-switch-case","Notes P004")</f>
        <v>Notes P004</v>
      </c>
    </row>
    <row r="6" spans="1:11" ht="34.049999999999997" customHeight="1" x14ac:dyDescent="0.3">
      <c r="A6" s="9">
        <v>5</v>
      </c>
      <c r="B6" s="10" t="s">
        <v>17</v>
      </c>
      <c r="C6" s="10" t="s">
        <v>12</v>
      </c>
      <c r="D6" s="10" t="s">
        <v>1002</v>
      </c>
      <c r="E6" s="10"/>
      <c r="F6" s="10"/>
      <c r="G6" s="10"/>
      <c r="H6" s="11"/>
      <c r="I6" s="11"/>
      <c r="J6" s="10"/>
      <c r="K6" s="16" t="str">
        <f>HYPERLINK("file:///C:/Users/kapil/OneDrive/Desktop/CPPandScripting/CPP_Data/Striver_DSA_Handwritten_Explanations.md#problem-005-what-are-arrays-strings","Notes P005")</f>
        <v>Notes P005</v>
      </c>
    </row>
    <row r="7" spans="1:11" ht="34.049999999999997" customHeight="1" x14ac:dyDescent="0.3">
      <c r="A7" s="12">
        <v>6</v>
      </c>
      <c r="B7" s="5" t="s">
        <v>18</v>
      </c>
      <c r="C7" s="5" t="s">
        <v>19</v>
      </c>
      <c r="D7" s="5" t="s">
        <v>900</v>
      </c>
      <c r="E7" s="5"/>
      <c r="F7" s="5"/>
      <c r="G7" s="5"/>
      <c r="H7" s="13"/>
      <c r="I7" s="13"/>
      <c r="J7" s="5"/>
      <c r="K7" s="17" t="str">
        <f>HYPERLINK("file:///C:/Users/kapil/OneDrive/Desktop/CPPandScripting/CPP_Data/Striver_DSA_Handwritten_Explanations.md#problem-006-for-loops","Notes P006")</f>
        <v>Notes P006</v>
      </c>
    </row>
    <row r="8" spans="1:11" ht="34.049999999999997" customHeight="1" x14ac:dyDescent="0.3">
      <c r="A8" s="9">
        <v>7</v>
      </c>
      <c r="B8" s="10" t="s">
        <v>20</v>
      </c>
      <c r="C8" s="10" t="s">
        <v>21</v>
      </c>
      <c r="D8" s="10" t="s">
        <v>900</v>
      </c>
      <c r="E8" s="10"/>
      <c r="F8" s="10"/>
      <c r="G8" s="10"/>
      <c r="H8" s="11"/>
      <c r="I8" s="11"/>
      <c r="J8" s="10"/>
      <c r="K8" s="16" t="str">
        <f>HYPERLINK("file:///C:/Users/kapil/OneDrive/Desktop/CPPandScripting/CPP_Data/Striver_DSA_Handwritten_Explanations.md#problem-007-while-loops","Notes P007")</f>
        <v>Notes P007</v>
      </c>
    </row>
    <row r="9" spans="1:11" ht="34.049999999999997" customHeight="1" x14ac:dyDescent="0.3">
      <c r="A9" s="12">
        <v>8</v>
      </c>
      <c r="B9" s="5" t="s">
        <v>22</v>
      </c>
      <c r="C9" s="5" t="s">
        <v>23</v>
      </c>
      <c r="D9" s="5" t="s">
        <v>901</v>
      </c>
      <c r="E9" s="5"/>
      <c r="F9" s="5"/>
      <c r="G9" s="5"/>
      <c r="H9" s="13"/>
      <c r="I9" s="13"/>
      <c r="J9" s="5"/>
      <c r="K9" s="17" t="str">
        <f>HYPERLINK("file:///C:/Users/kapil/OneDrive/Desktop/CPPandScripting/CPP_Data/Striver_DSA_Handwritten_Explanations.md#problem-008-functions-pass-by-reference-and-value","Notes P008")</f>
        <v>Notes P008</v>
      </c>
    </row>
    <row r="10" spans="1:11" ht="34.049999999999997" customHeight="1" x14ac:dyDescent="0.3">
      <c r="A10" s="9">
        <v>9</v>
      </c>
      <c r="B10" s="10" t="s">
        <v>24</v>
      </c>
      <c r="C10" s="10" t="s">
        <v>25</v>
      </c>
      <c r="D10" s="10" t="s">
        <v>902</v>
      </c>
      <c r="E10" s="10"/>
      <c r="F10" s="10"/>
      <c r="G10" s="10"/>
      <c r="H10" s="11"/>
      <c r="I10" s="11"/>
      <c r="J10" s="10"/>
      <c r="K10" s="16" t="str">
        <f>HYPERLINK("file:///C:/Users/kapil/OneDrive/Desktop/CPPandScripting/CPP_Data/Striver_DSA_Handwritten_Explanations.md#problem-009-theory-with-examples","Notes P009")</f>
        <v>Notes P009</v>
      </c>
    </row>
    <row r="11" spans="1:11" ht="34.049999999999997" customHeight="1" x14ac:dyDescent="0.3">
      <c r="A11" s="12">
        <v>10</v>
      </c>
      <c r="B11" s="5" t="s">
        <v>26</v>
      </c>
      <c r="C11" s="5" t="s">
        <v>27</v>
      </c>
      <c r="D11" s="5"/>
      <c r="E11" s="5"/>
      <c r="F11" s="5"/>
      <c r="G11" s="5"/>
      <c r="H11" s="13"/>
      <c r="I11" s="13"/>
      <c r="J11" s="5"/>
      <c r="K11" s="17" t="str">
        <f>HYPERLINK("file:///C:/Users/kapil/OneDrive/Desktop/CPPandScripting/CPP_Data/Striver_DSA_Handwritten_Explanations.md#problem-010-easy-and-medium","Notes P010")</f>
        <v>Notes P010</v>
      </c>
    </row>
    <row r="12" spans="1:11" ht="34.049999999999997" customHeight="1" x14ac:dyDescent="0.3">
      <c r="A12" s="9">
        <v>11</v>
      </c>
      <c r="B12" s="10" t="s">
        <v>28</v>
      </c>
      <c r="C12" s="10" t="s">
        <v>27</v>
      </c>
      <c r="D12" s="10"/>
      <c r="E12" s="10"/>
      <c r="F12" s="10"/>
      <c r="G12" s="10"/>
      <c r="H12" s="11"/>
      <c r="I12" s="11"/>
      <c r="J12" s="10"/>
      <c r="K12" s="16" t="str">
        <f>HYPERLINK("file:///C:/Users/kapil/OneDrive/Desktop/CPPandScripting/CPP_Data/Striver_DSA_Handwritten_Explanations.md#problem-011-hard","Notes P011")</f>
        <v>Notes P011</v>
      </c>
    </row>
    <row r="13" spans="1:11" ht="34.049999999999997" customHeight="1" x14ac:dyDescent="0.3">
      <c r="A13" s="12">
        <v>12</v>
      </c>
      <c r="B13" s="5" t="s">
        <v>29</v>
      </c>
      <c r="C13" s="5" t="s">
        <v>27</v>
      </c>
      <c r="D13" s="5" t="s">
        <v>903</v>
      </c>
      <c r="E13" s="5"/>
      <c r="F13" s="5"/>
      <c r="G13" s="5"/>
      <c r="H13" s="13"/>
      <c r="I13" s="13"/>
      <c r="J13" s="5"/>
      <c r="K13" s="17" t="str">
        <f>HYPERLINK("file:///C:/Users/kapil/OneDrive/Desktop/CPPandScripting/CPP_Data/Striver_DSA_Handwritten_Explanations.md#problem-012-pattern-1","Notes P012")</f>
        <v>Notes P012</v>
      </c>
    </row>
    <row r="14" spans="1:11" ht="34.049999999999997" customHeight="1" x14ac:dyDescent="0.3">
      <c r="A14" s="9">
        <v>13</v>
      </c>
      <c r="B14" s="10" t="s">
        <v>30</v>
      </c>
      <c r="C14" s="10" t="s">
        <v>27</v>
      </c>
      <c r="D14" s="10" t="s">
        <v>903</v>
      </c>
      <c r="E14" s="10"/>
      <c r="F14" s="10"/>
      <c r="G14" s="10"/>
      <c r="H14" s="11"/>
      <c r="I14" s="11"/>
      <c r="J14" s="10"/>
      <c r="K14" s="16" t="str">
        <f>HYPERLINK("file:///C:/Users/kapil/OneDrive/Desktop/CPPandScripting/CPP_Data/Striver_DSA_Handwritten_Explanations.md#problem-013-pattern-2","Notes P013")</f>
        <v>Notes P013</v>
      </c>
    </row>
    <row r="15" spans="1:11" ht="34.049999999999997" customHeight="1" x14ac:dyDescent="0.3">
      <c r="A15" s="12">
        <v>14</v>
      </c>
      <c r="B15" s="5" t="s">
        <v>31</v>
      </c>
      <c r="C15" s="5" t="s">
        <v>27</v>
      </c>
      <c r="D15" s="5" t="s">
        <v>903</v>
      </c>
      <c r="E15" s="5"/>
      <c r="F15" s="5"/>
      <c r="G15" s="5"/>
      <c r="H15" s="13"/>
      <c r="I15" s="13"/>
      <c r="J15" s="5"/>
      <c r="K15" s="17" t="str">
        <f>HYPERLINK("file:///C:/Users/kapil/OneDrive/Desktop/CPPandScripting/CPP_Data/Striver_DSA_Handwritten_Explanations.md#problem-014-pattern-3","Notes P014")</f>
        <v>Notes P014</v>
      </c>
    </row>
    <row r="16" spans="1:11" ht="34.049999999999997" customHeight="1" x14ac:dyDescent="0.3">
      <c r="A16" s="9">
        <v>15</v>
      </c>
      <c r="B16" s="10" t="s">
        <v>32</v>
      </c>
      <c r="C16" s="10" t="s">
        <v>27</v>
      </c>
      <c r="D16" s="10" t="s">
        <v>903</v>
      </c>
      <c r="E16" s="10"/>
      <c r="F16" s="10"/>
      <c r="G16" s="10"/>
      <c r="H16" s="11"/>
      <c r="I16" s="11"/>
      <c r="J16" s="10"/>
      <c r="K16" s="16" t="str">
        <f>HYPERLINK("file:///C:/Users/kapil/OneDrive/Desktop/CPPandScripting/CPP_Data/Striver_DSA_Handwritten_Explanations.md#problem-015-pattern-4","Notes P015")</f>
        <v>Notes P015</v>
      </c>
    </row>
    <row r="17" spans="1:11" ht="34.049999999999997" customHeight="1" x14ac:dyDescent="0.3">
      <c r="A17" s="12">
        <v>16</v>
      </c>
      <c r="B17" s="5" t="s">
        <v>33</v>
      </c>
      <c r="C17" s="5" t="s">
        <v>27</v>
      </c>
      <c r="D17" s="5" t="s">
        <v>903</v>
      </c>
      <c r="E17" s="5"/>
      <c r="F17" s="5"/>
      <c r="G17" s="5"/>
      <c r="H17" s="13"/>
      <c r="I17" s="13"/>
      <c r="J17" s="5"/>
      <c r="K17" s="17" t="str">
        <f>HYPERLINK("file:///C:/Users/kapil/OneDrive/Desktop/CPPandScripting/CPP_Data/Striver_DSA_Handwritten_Explanations.md#problem-016-pattern-5","Notes P016")</f>
        <v>Notes P016</v>
      </c>
    </row>
    <row r="18" spans="1:11" ht="34.049999999999997" customHeight="1" x14ac:dyDescent="0.3">
      <c r="A18" s="9">
        <v>17</v>
      </c>
      <c r="B18" s="10" t="s">
        <v>34</v>
      </c>
      <c r="C18" s="10" t="s">
        <v>27</v>
      </c>
      <c r="D18" s="10" t="s">
        <v>903</v>
      </c>
      <c r="E18" s="10"/>
      <c r="F18" s="10"/>
      <c r="G18" s="10"/>
      <c r="H18" s="11"/>
      <c r="I18" s="11"/>
      <c r="J18" s="10"/>
      <c r="K18" s="16" t="str">
        <f>HYPERLINK("file:///C:/Users/kapil/OneDrive/Desktop/CPPandScripting/CPP_Data/Striver_DSA_Handwritten_Explanations.md#problem-017-pattern-6","Notes P017")</f>
        <v>Notes P017</v>
      </c>
    </row>
    <row r="19" spans="1:11" ht="34.049999999999997" customHeight="1" x14ac:dyDescent="0.3">
      <c r="A19" s="12">
        <v>18</v>
      </c>
      <c r="B19" s="5" t="s">
        <v>35</v>
      </c>
      <c r="C19" s="5" t="s">
        <v>27</v>
      </c>
      <c r="D19" s="5" t="s">
        <v>903</v>
      </c>
      <c r="E19" s="5"/>
      <c r="F19" s="5"/>
      <c r="G19" s="5"/>
      <c r="H19" s="13"/>
      <c r="I19" s="13"/>
      <c r="J19" s="5"/>
      <c r="K19" s="17" t="str">
        <f>HYPERLINK("file:///C:/Users/kapil/OneDrive/Desktop/CPPandScripting/CPP_Data/Striver_DSA_Handwritten_Explanations.md#problem-018-pattern-7","Notes P018")</f>
        <v>Notes P018</v>
      </c>
    </row>
    <row r="20" spans="1:11" ht="34.049999999999997" customHeight="1" x14ac:dyDescent="0.3">
      <c r="A20" s="9">
        <v>19</v>
      </c>
      <c r="B20" s="10" t="s">
        <v>36</v>
      </c>
      <c r="C20" s="10" t="s">
        <v>27</v>
      </c>
      <c r="D20" s="10" t="s">
        <v>903</v>
      </c>
      <c r="E20" s="10"/>
      <c r="F20" s="10"/>
      <c r="G20" s="10"/>
      <c r="H20" s="11"/>
      <c r="I20" s="11"/>
      <c r="J20" s="10"/>
      <c r="K20" s="16" t="str">
        <f>HYPERLINK("file:///C:/Users/kapil/OneDrive/Desktop/CPPandScripting/CPP_Data/Striver_DSA_Handwritten_Explanations.md#problem-019-pattern-8","Notes P019")</f>
        <v>Notes P019</v>
      </c>
    </row>
    <row r="21" spans="1:11" ht="34.049999999999997" customHeight="1" x14ac:dyDescent="0.3">
      <c r="A21" s="12">
        <v>20</v>
      </c>
      <c r="B21" s="5" t="s">
        <v>37</v>
      </c>
      <c r="C21" s="5" t="s">
        <v>27</v>
      </c>
      <c r="D21" s="5" t="s">
        <v>903</v>
      </c>
      <c r="E21" s="5"/>
      <c r="F21" s="5"/>
      <c r="G21" s="5"/>
      <c r="H21" s="13"/>
      <c r="I21" s="13"/>
      <c r="J21" s="5"/>
      <c r="K21" s="17" t="str">
        <f>HYPERLINK("file:///C:/Users/kapil/OneDrive/Desktop/CPPandScripting/CPP_Data/Striver_DSA_Handwritten_Explanations.md#problem-020-pattern-9","Notes P020")</f>
        <v>Notes P020</v>
      </c>
    </row>
    <row r="22" spans="1:11" ht="34.049999999999997" customHeight="1" x14ac:dyDescent="0.3">
      <c r="A22" s="9">
        <v>21</v>
      </c>
      <c r="B22" s="10" t="s">
        <v>38</v>
      </c>
      <c r="C22" s="10" t="s">
        <v>27</v>
      </c>
      <c r="D22" s="10" t="s">
        <v>903</v>
      </c>
      <c r="E22" s="10"/>
      <c r="F22" s="10"/>
      <c r="G22" s="10"/>
      <c r="H22" s="11"/>
      <c r="I22" s="11"/>
      <c r="J22" s="10"/>
      <c r="K22" s="16" t="str">
        <f>HYPERLINK("file:///C:/Users/kapil/OneDrive/Desktop/CPPandScripting/CPP_Data/Striver_DSA_Handwritten_Explanations.md#problem-021-pattern-10","Notes P021")</f>
        <v>Notes P021</v>
      </c>
    </row>
    <row r="23" spans="1:11" ht="34.049999999999997" customHeight="1" x14ac:dyDescent="0.3">
      <c r="A23" s="12">
        <v>22</v>
      </c>
      <c r="B23" s="5" t="s">
        <v>39</v>
      </c>
      <c r="C23" s="5" t="s">
        <v>27</v>
      </c>
      <c r="D23" s="5" t="s">
        <v>903</v>
      </c>
      <c r="E23" s="5"/>
      <c r="F23" s="5"/>
      <c r="G23" s="5"/>
      <c r="H23" s="13"/>
      <c r="I23" s="13"/>
      <c r="J23" s="5"/>
      <c r="K23" s="17" t="str">
        <f>HYPERLINK("file:///C:/Users/kapil/OneDrive/Desktop/CPPandScripting/CPP_Data/Striver_DSA_Handwritten_Explanations.md#problem-022-pattern-11","Notes P022")</f>
        <v>Notes P022</v>
      </c>
    </row>
    <row r="24" spans="1:11" ht="34.049999999999997" customHeight="1" x14ac:dyDescent="0.3">
      <c r="A24" s="9">
        <v>23</v>
      </c>
      <c r="B24" s="10" t="s">
        <v>40</v>
      </c>
      <c r="C24" s="10" t="s">
        <v>27</v>
      </c>
      <c r="D24" s="10" t="s">
        <v>903</v>
      </c>
      <c r="E24" s="10"/>
      <c r="F24" s="10"/>
      <c r="G24" s="10"/>
      <c r="H24" s="11"/>
      <c r="I24" s="11"/>
      <c r="J24" s="10"/>
      <c r="K24" s="16" t="str">
        <f>HYPERLINK("file:///C:/Users/kapil/OneDrive/Desktop/CPPandScripting/CPP_Data/Striver_DSA_Handwritten_Explanations.md#problem-023-pattern-12","Notes P023")</f>
        <v>Notes P023</v>
      </c>
    </row>
    <row r="25" spans="1:11" ht="34.049999999999997" customHeight="1" x14ac:dyDescent="0.3">
      <c r="A25" s="12">
        <v>24</v>
      </c>
      <c r="B25" s="5" t="s">
        <v>41</v>
      </c>
      <c r="C25" s="5" t="s">
        <v>27</v>
      </c>
      <c r="D25" s="5" t="s">
        <v>903</v>
      </c>
      <c r="E25" s="5"/>
      <c r="F25" s="5"/>
      <c r="G25" s="5"/>
      <c r="H25" s="13"/>
      <c r="I25" s="13"/>
      <c r="J25" s="5"/>
      <c r="K25" s="17" t="str">
        <f>HYPERLINK("file:///C:/Users/kapil/OneDrive/Desktop/CPPandScripting/CPP_Data/Striver_DSA_Handwritten_Explanations.md#problem-024-pattern-13","Notes P024")</f>
        <v>Notes P024</v>
      </c>
    </row>
    <row r="26" spans="1:11" ht="34.049999999999997" customHeight="1" x14ac:dyDescent="0.3">
      <c r="A26" s="9">
        <v>25</v>
      </c>
      <c r="B26" s="10" t="s">
        <v>42</v>
      </c>
      <c r="C26" s="10" t="s">
        <v>27</v>
      </c>
      <c r="D26" s="10" t="s">
        <v>903</v>
      </c>
      <c r="E26" s="10"/>
      <c r="F26" s="10"/>
      <c r="G26" s="10"/>
      <c r="H26" s="11"/>
      <c r="I26" s="11"/>
      <c r="J26" s="10"/>
      <c r="K26" s="16" t="str">
        <f>HYPERLINK("file:///C:/Users/kapil/OneDrive/Desktop/CPPandScripting/CPP_Data/Striver_DSA_Handwritten_Explanations.md#problem-025-pattern-14","Notes P025")</f>
        <v>Notes P025</v>
      </c>
    </row>
    <row r="27" spans="1:11" ht="34.049999999999997" customHeight="1" x14ac:dyDescent="0.3">
      <c r="A27" s="12">
        <v>26</v>
      </c>
      <c r="B27" s="5" t="s">
        <v>43</v>
      </c>
      <c r="C27" s="5" t="s">
        <v>27</v>
      </c>
      <c r="D27" s="5" t="s">
        <v>903</v>
      </c>
      <c r="E27" s="5"/>
      <c r="F27" s="5"/>
      <c r="G27" s="5"/>
      <c r="H27" s="13"/>
      <c r="I27" s="13"/>
      <c r="J27" s="5"/>
      <c r="K27" s="17" t="str">
        <f>HYPERLINK("file:///C:/Users/kapil/OneDrive/Desktop/CPPandScripting/CPP_Data/Striver_DSA_Handwritten_Explanations.md#problem-026-pattern-15","Notes P026")</f>
        <v>Notes P026</v>
      </c>
    </row>
    <row r="28" spans="1:11" ht="34.049999999999997" customHeight="1" x14ac:dyDescent="0.3">
      <c r="A28" s="9">
        <v>27</v>
      </c>
      <c r="B28" s="10" t="s">
        <v>44</v>
      </c>
      <c r="C28" s="10" t="s">
        <v>27</v>
      </c>
      <c r="D28" s="10" t="s">
        <v>903</v>
      </c>
      <c r="E28" s="10"/>
      <c r="F28" s="10"/>
      <c r="G28" s="10"/>
      <c r="H28" s="11"/>
      <c r="I28" s="11"/>
      <c r="J28" s="10"/>
      <c r="K28" s="16" t="str">
        <f>HYPERLINK("file:///C:/Users/kapil/OneDrive/Desktop/CPPandScripting/CPP_Data/Striver_DSA_Handwritten_Explanations.md#problem-027-pattern-16","Notes P027")</f>
        <v>Notes P027</v>
      </c>
    </row>
    <row r="29" spans="1:11" ht="34.049999999999997" customHeight="1" x14ac:dyDescent="0.3">
      <c r="A29" s="12">
        <v>28</v>
      </c>
      <c r="B29" s="5" t="s">
        <v>45</v>
      </c>
      <c r="C29" s="5" t="s">
        <v>27</v>
      </c>
      <c r="D29" s="5" t="s">
        <v>903</v>
      </c>
      <c r="E29" s="5"/>
      <c r="F29" s="5"/>
      <c r="G29" s="5"/>
      <c r="H29" s="13"/>
      <c r="I29" s="13"/>
      <c r="J29" s="5"/>
      <c r="K29" s="17" t="str">
        <f>HYPERLINK("file:///C:/Users/kapil/OneDrive/Desktop/CPPandScripting/CPP_Data/Striver_DSA_Handwritten_Explanations.md#problem-028-pattern-17","Notes P028")</f>
        <v>Notes P028</v>
      </c>
    </row>
    <row r="30" spans="1:11" ht="34.049999999999997" customHeight="1" x14ac:dyDescent="0.3">
      <c r="A30" s="9">
        <v>29</v>
      </c>
      <c r="B30" s="10" t="s">
        <v>46</v>
      </c>
      <c r="C30" s="10" t="s">
        <v>27</v>
      </c>
      <c r="D30" s="10" t="s">
        <v>903</v>
      </c>
      <c r="E30" s="10"/>
      <c r="F30" s="10"/>
      <c r="G30" s="10"/>
      <c r="H30" s="11"/>
      <c r="I30" s="11"/>
      <c r="J30" s="10"/>
      <c r="K30" s="16" t="str">
        <f>HYPERLINK("file:///C:/Users/kapil/OneDrive/Desktop/CPPandScripting/CPP_Data/Striver_DSA_Handwritten_Explanations.md#problem-029-pattern-18","Notes P029")</f>
        <v>Notes P029</v>
      </c>
    </row>
    <row r="31" spans="1:11" ht="34.049999999999997" customHeight="1" x14ac:dyDescent="0.3">
      <c r="A31" s="12">
        <v>30</v>
      </c>
      <c r="B31" s="5" t="s">
        <v>47</v>
      </c>
      <c r="C31" s="5" t="s">
        <v>27</v>
      </c>
      <c r="D31" s="5" t="s">
        <v>903</v>
      </c>
      <c r="E31" s="5"/>
      <c r="F31" s="5"/>
      <c r="G31" s="5"/>
      <c r="H31" s="13"/>
      <c r="I31" s="13"/>
      <c r="J31" s="5"/>
      <c r="K31" s="17" t="str">
        <f>HYPERLINK("file:///C:/Users/kapil/OneDrive/Desktop/CPPandScripting/CPP_Data/Striver_DSA_Handwritten_Explanations.md#problem-030-pattern-19","Notes P030")</f>
        <v>Notes P030</v>
      </c>
    </row>
    <row r="32" spans="1:11" ht="34.049999999999997" customHeight="1" x14ac:dyDescent="0.3">
      <c r="A32" s="9">
        <v>31</v>
      </c>
      <c r="B32" s="10" t="s">
        <v>48</v>
      </c>
      <c r="C32" s="10" t="s">
        <v>27</v>
      </c>
      <c r="D32" s="10" t="s">
        <v>903</v>
      </c>
      <c r="E32" s="10"/>
      <c r="F32" s="10"/>
      <c r="G32" s="10"/>
      <c r="H32" s="11"/>
      <c r="I32" s="11"/>
      <c r="J32" s="10"/>
      <c r="K32" s="16" t="str">
        <f>HYPERLINK("file:///C:/Users/kapil/OneDrive/Desktop/CPPandScripting/CPP_Data/Striver_DSA_Handwritten_Explanations.md#problem-031-pattern-20","Notes P031")</f>
        <v>Notes P031</v>
      </c>
    </row>
    <row r="33" spans="1:11" ht="34.049999999999997" customHeight="1" x14ac:dyDescent="0.3">
      <c r="A33" s="12">
        <v>32</v>
      </c>
      <c r="B33" s="5" t="s">
        <v>49</v>
      </c>
      <c r="C33" s="5" t="s">
        <v>27</v>
      </c>
      <c r="D33" s="5" t="s">
        <v>903</v>
      </c>
      <c r="E33" s="5"/>
      <c r="F33" s="5"/>
      <c r="G33" s="5"/>
      <c r="H33" s="13"/>
      <c r="I33" s="13"/>
      <c r="J33" s="5"/>
      <c r="K33" s="17" t="str">
        <f>HYPERLINK("file:///C:/Users/kapil/OneDrive/Desktop/CPPandScripting/CPP_Data/Striver_DSA_Handwritten_Explanations.md#problem-032-pattern-21","Notes P032")</f>
        <v>Notes P032</v>
      </c>
    </row>
    <row r="34" spans="1:11" ht="34.049999999999997" customHeight="1" x14ac:dyDescent="0.3">
      <c r="A34" s="9">
        <v>33</v>
      </c>
      <c r="B34" s="10" t="s">
        <v>50</v>
      </c>
      <c r="C34" s="10" t="s">
        <v>27</v>
      </c>
      <c r="D34" s="10" t="s">
        <v>903</v>
      </c>
      <c r="E34" s="10"/>
      <c r="F34" s="10"/>
      <c r="G34" s="10"/>
      <c r="H34" s="11"/>
      <c r="I34" s="11"/>
      <c r="J34" s="10"/>
      <c r="K34" s="16" t="str">
        <f>HYPERLINK("file:///C:/Users/kapil/OneDrive/Desktop/CPPandScripting/CPP_Data/Striver_DSA_Handwritten_Explanations.md#problem-033-pattern-22","Notes P033")</f>
        <v>Notes P033</v>
      </c>
    </row>
    <row r="35" spans="1:11" ht="34.049999999999997" customHeight="1" x14ac:dyDescent="0.3">
      <c r="A35" s="12">
        <v>34</v>
      </c>
      <c r="B35" s="5" t="s">
        <v>51</v>
      </c>
      <c r="C35" s="5" t="s">
        <v>52</v>
      </c>
      <c r="D35" s="5" t="s">
        <v>904</v>
      </c>
      <c r="E35" s="5"/>
      <c r="F35" s="5"/>
      <c r="G35" s="5"/>
      <c r="H35" s="13"/>
      <c r="I35" s="13"/>
      <c r="J35" s="5"/>
      <c r="K35" s="17" t="str">
        <f>HYPERLINK("file:///C:/Users/kapil/OneDrive/Desktop/CPPandScripting/CPP_Data/Striver_DSA_Handwritten_Explanations.md#problem-034-stl","Notes P034")</f>
        <v>Notes P034</v>
      </c>
    </row>
    <row r="36" spans="1:11" ht="34.049999999999997" customHeight="1" x14ac:dyDescent="0.3">
      <c r="A36" s="9">
        <v>35</v>
      </c>
      <c r="B36" s="10" t="s">
        <v>53</v>
      </c>
      <c r="C36" s="10" t="s">
        <v>54</v>
      </c>
      <c r="D36" s="10"/>
      <c r="E36" s="10"/>
      <c r="F36" s="10"/>
      <c r="G36" s="10"/>
      <c r="H36" s="11"/>
      <c r="I36" s="11"/>
      <c r="J36" s="10"/>
      <c r="K36" s="16" t="str">
        <f>HYPERLINK("file:///C:/Users/kapil/OneDrive/Desktop/CPPandScripting/CPP_Data/Striver_DSA_Handwritten_Explanations.md#problem-035-java-collections","Notes P035")</f>
        <v>Notes P035</v>
      </c>
    </row>
    <row r="37" spans="1:11" ht="34.049999999999997" customHeight="1" x14ac:dyDescent="0.3">
      <c r="A37" s="12">
        <v>36</v>
      </c>
      <c r="B37" s="5" t="s">
        <v>55</v>
      </c>
      <c r="C37" s="5" t="s">
        <v>56</v>
      </c>
      <c r="D37" s="5"/>
      <c r="E37" s="5"/>
      <c r="F37" s="5"/>
      <c r="G37" s="5"/>
      <c r="H37" s="13"/>
      <c r="I37" s="13"/>
      <c r="J37" s="5"/>
      <c r="K37" s="17" t="str">
        <f>HYPERLINK("file:///C:/Users/kapil/OneDrive/Desktop/CPPandScripting/CPP_Data/Striver_DSA_Handwritten_Explanations.md#problem-036-count-all-digits-of-a-number","Notes P036")</f>
        <v>Notes P036</v>
      </c>
    </row>
    <row r="38" spans="1:11" ht="34.049999999999997" customHeight="1" x14ac:dyDescent="0.3">
      <c r="A38" s="9">
        <v>37</v>
      </c>
      <c r="B38" s="10" t="s">
        <v>57</v>
      </c>
      <c r="C38" s="10" t="s">
        <v>58</v>
      </c>
      <c r="D38" s="10"/>
      <c r="E38" s="10"/>
      <c r="F38" s="10"/>
      <c r="G38" s="10"/>
      <c r="H38" s="11"/>
      <c r="I38" s="11"/>
      <c r="J38" s="10"/>
      <c r="K38" s="16" t="str">
        <f>HYPERLINK("file:///C:/Users/kapil/OneDrive/Desktop/CPPandScripting/CPP_Data/Striver_DSA_Handwritten_Explanations.md#problem-037-reverse-a-number","Notes P037")</f>
        <v>Notes P037</v>
      </c>
    </row>
    <row r="39" spans="1:11" ht="34.049999999999997" customHeight="1" x14ac:dyDescent="0.3">
      <c r="A39" s="12">
        <v>38</v>
      </c>
      <c r="B39" s="5" t="s">
        <v>59</v>
      </c>
      <c r="C39" s="5" t="s">
        <v>60</v>
      </c>
      <c r="D39" s="5"/>
      <c r="E39" s="5"/>
      <c r="F39" s="5"/>
      <c r="G39" s="5"/>
      <c r="H39" s="13"/>
      <c r="I39" s="13"/>
      <c r="J39" s="5"/>
      <c r="K39" s="17" t="str">
        <f>HYPERLINK("file:///C:/Users/kapil/OneDrive/Desktop/CPPandScripting/CPP_Data/Striver_DSA_Handwritten_Explanations.md#problem-038-palindrome-number","Notes P038")</f>
        <v>Notes P038</v>
      </c>
    </row>
    <row r="40" spans="1:11" ht="34.049999999999997" customHeight="1" x14ac:dyDescent="0.3">
      <c r="A40" s="9">
        <v>39</v>
      </c>
      <c r="B40" s="10" t="s">
        <v>61</v>
      </c>
      <c r="C40" s="10" t="s">
        <v>62</v>
      </c>
      <c r="D40" s="10" t="s">
        <v>905</v>
      </c>
      <c r="E40" s="10"/>
      <c r="F40" s="10"/>
      <c r="G40" s="10"/>
      <c r="H40" s="11"/>
      <c r="I40" s="11"/>
      <c r="J40" s="10"/>
      <c r="K40" s="16" t="str">
        <f>HYPERLINK("file:///C:/Users/kapil/OneDrive/Desktop/CPPandScripting/CPP_Data/Striver_DSA_Handwritten_Explanations.md#problem-039-gcd-of-two-numbers","Notes P039")</f>
        <v>Notes P039</v>
      </c>
    </row>
    <row r="41" spans="1:11" ht="34.049999999999997" customHeight="1" x14ac:dyDescent="0.3">
      <c r="A41" s="12">
        <v>40</v>
      </c>
      <c r="B41" s="5" t="s">
        <v>63</v>
      </c>
      <c r="C41" s="5" t="s">
        <v>64</v>
      </c>
      <c r="D41" s="5"/>
      <c r="E41" s="5"/>
      <c r="F41" s="5"/>
      <c r="G41" s="5"/>
      <c r="H41" s="13"/>
      <c r="I41" s="13"/>
      <c r="J41" s="5"/>
      <c r="K41" s="17" t="str">
        <f>HYPERLINK("file:///C:/Users/kapil/OneDrive/Desktop/CPPandScripting/CPP_Data/Striver_DSA_Handwritten_Explanations.md#problem-040-check-if-the-number-is-armstrong","Notes P040")</f>
        <v>Notes P040</v>
      </c>
    </row>
    <row r="42" spans="1:11" ht="34.049999999999997" customHeight="1" x14ac:dyDescent="0.3">
      <c r="A42" s="9">
        <v>41</v>
      </c>
      <c r="B42" s="10" t="s">
        <v>65</v>
      </c>
      <c r="C42" s="10" t="s">
        <v>66</v>
      </c>
      <c r="D42" s="10"/>
      <c r="E42" s="10"/>
      <c r="F42" s="10"/>
      <c r="G42" s="10"/>
      <c r="H42" s="11"/>
      <c r="I42" s="11"/>
      <c r="J42" s="10"/>
      <c r="K42" s="16" t="str">
        <f>HYPERLINK("file:///C:/Users/kapil/OneDrive/Desktop/CPPandScripting/CPP_Data/Striver_DSA_Handwritten_Explanations.md#problem-041-print-all-divisors","Notes P041")</f>
        <v>Notes P041</v>
      </c>
    </row>
    <row r="43" spans="1:11" ht="34.049999999999997" customHeight="1" x14ac:dyDescent="0.3">
      <c r="A43" s="12">
        <v>42</v>
      </c>
      <c r="B43" s="5" t="s">
        <v>67</v>
      </c>
      <c r="C43" s="5" t="s">
        <v>68</v>
      </c>
      <c r="D43" s="5" t="s">
        <v>905</v>
      </c>
      <c r="E43" s="5"/>
      <c r="F43" s="5"/>
      <c r="G43" s="5"/>
      <c r="H43" s="13"/>
      <c r="I43" s="13"/>
      <c r="J43" s="5"/>
      <c r="K43" s="17" t="str">
        <f>HYPERLINK("file:///C:/Users/kapil/OneDrive/Desktop/CPPandScripting/CPP_Data/Striver_DSA_Handwritten_Explanations.md#problem-042-check-for-prime-number","Notes P042")</f>
        <v>Notes P042</v>
      </c>
    </row>
    <row r="44" spans="1:11" ht="34.049999999999997" customHeight="1" x14ac:dyDescent="0.3">
      <c r="A44" s="9">
        <v>43</v>
      </c>
      <c r="B44" s="10" t="s">
        <v>69</v>
      </c>
      <c r="C44" s="10" t="s">
        <v>70</v>
      </c>
      <c r="D44" s="10"/>
      <c r="E44" s="10"/>
      <c r="F44" s="10"/>
      <c r="G44" s="10"/>
      <c r="H44" s="11"/>
      <c r="I44" s="11"/>
      <c r="J44" s="10"/>
      <c r="K44" s="16" t="str">
        <f>HYPERLINK("file:///C:/Users/kapil/OneDrive/Desktop/CPPandScripting/CPP_Data/Striver_DSA_Handwritten_Explanations.md#problem-043-understand-recursion-by-print-something-n-times","Notes P043")</f>
        <v>Notes P043</v>
      </c>
    </row>
    <row r="45" spans="1:11" ht="34.049999999999997" customHeight="1" x14ac:dyDescent="0.3">
      <c r="A45" s="12">
        <v>44</v>
      </c>
      <c r="B45" s="5" t="s">
        <v>71</v>
      </c>
      <c r="C45" s="5" t="s">
        <v>72</v>
      </c>
      <c r="D45" s="5"/>
      <c r="E45" s="5"/>
      <c r="F45" s="5"/>
      <c r="G45" s="5"/>
      <c r="H45" s="13"/>
      <c r="I45" s="13"/>
      <c r="J45" s="5"/>
      <c r="K45" s="17" t="str">
        <f>HYPERLINK("file:///C:/Users/kapil/OneDrive/Desktop/CPPandScripting/CPP_Data/Striver_DSA_Handwritten_Explanations.md#problem-044-print-name-n-times-using-recursion","Notes P044")</f>
        <v>Notes P044</v>
      </c>
    </row>
    <row r="46" spans="1:11" ht="34.049999999999997" customHeight="1" x14ac:dyDescent="0.3">
      <c r="A46" s="9">
        <v>45</v>
      </c>
      <c r="B46" s="10" t="s">
        <v>73</v>
      </c>
      <c r="C46" s="10" t="s">
        <v>74</v>
      </c>
      <c r="D46" s="10"/>
      <c r="E46" s="10"/>
      <c r="F46" s="10"/>
      <c r="G46" s="10"/>
      <c r="H46" s="11"/>
      <c r="I46" s="11"/>
      <c r="J46" s="10"/>
      <c r="K46" s="16" t="str">
        <f>HYPERLINK("file:///C:/Users/kapil/OneDrive/Desktop/CPPandScripting/CPP_Data/Striver_DSA_Handwritten_Explanations.md#problem-045-print-1-to-n-using-recursion","Notes P045")</f>
        <v>Notes P045</v>
      </c>
    </row>
    <row r="47" spans="1:11" ht="34.049999999999997" customHeight="1" x14ac:dyDescent="0.3">
      <c r="A47" s="12">
        <v>46</v>
      </c>
      <c r="B47" s="5" t="s">
        <v>75</v>
      </c>
      <c r="C47" s="5" t="s">
        <v>76</v>
      </c>
      <c r="D47" s="5"/>
      <c r="E47" s="5"/>
      <c r="F47" s="5"/>
      <c r="G47" s="5"/>
      <c r="H47" s="13"/>
      <c r="I47" s="13"/>
      <c r="J47" s="5"/>
      <c r="K47" s="17" t="str">
        <f>HYPERLINK("file:///C:/Users/kapil/OneDrive/Desktop/CPPandScripting/CPP_Data/Striver_DSA_Handwritten_Explanations.md#problem-046-print-n-to-1-using-recursion","Notes P046")</f>
        <v>Notes P046</v>
      </c>
    </row>
    <row r="48" spans="1:11" ht="34.049999999999997" customHeight="1" x14ac:dyDescent="0.3">
      <c r="A48" s="9">
        <v>47</v>
      </c>
      <c r="B48" s="10" t="s">
        <v>77</v>
      </c>
      <c r="C48" s="10" t="s">
        <v>78</v>
      </c>
      <c r="D48" s="10"/>
      <c r="E48" s="10"/>
      <c r="F48" s="10"/>
      <c r="G48" s="10"/>
      <c r="H48" s="11"/>
      <c r="I48" s="11"/>
      <c r="J48" s="10"/>
      <c r="K48" s="16" t="str">
        <f>HYPERLINK("file:///C:/Users/kapil/OneDrive/Desktop/CPPandScripting/CPP_Data/Striver_DSA_Handwritten_Explanations.md#problem-047-sum-of-first-n-numbers","Notes P047")</f>
        <v>Notes P047</v>
      </c>
    </row>
    <row r="49" spans="1:11" ht="34.049999999999997" customHeight="1" x14ac:dyDescent="0.3">
      <c r="A49" s="12">
        <v>48</v>
      </c>
      <c r="B49" s="5" t="s">
        <v>79</v>
      </c>
      <c r="C49" s="5" t="s">
        <v>80</v>
      </c>
      <c r="D49" s="5"/>
      <c r="E49" s="5"/>
      <c r="F49" s="5"/>
      <c r="G49" s="5"/>
      <c r="H49" s="13"/>
      <c r="I49" s="13"/>
      <c r="J49" s="5"/>
      <c r="K49" s="17" t="str">
        <f>HYPERLINK("file:///C:/Users/kapil/OneDrive/Desktop/CPPandScripting/CPP_Data/Striver_DSA_Handwritten_Explanations.md#problem-048-factorial-of-a-given-number","Notes P048")</f>
        <v>Notes P048</v>
      </c>
    </row>
    <row r="50" spans="1:11" ht="34.049999999999997" customHeight="1" x14ac:dyDescent="0.3">
      <c r="A50" s="9">
        <v>49</v>
      </c>
      <c r="B50" s="10" t="s">
        <v>81</v>
      </c>
      <c r="C50" s="10" t="s">
        <v>82</v>
      </c>
      <c r="D50" s="10"/>
      <c r="E50" s="10"/>
      <c r="F50" s="10"/>
      <c r="G50" s="10"/>
      <c r="H50" s="11"/>
      <c r="I50" s="11"/>
      <c r="J50" s="10"/>
      <c r="K50" s="16" t="str">
        <f>HYPERLINK("file:///C:/Users/kapil/OneDrive/Desktop/CPPandScripting/CPP_Data/Striver_DSA_Handwritten_Explanations.md#problem-049-reverse-an-array","Notes P049")</f>
        <v>Notes P049</v>
      </c>
    </row>
    <row r="51" spans="1:11" ht="34.049999999999997" customHeight="1" x14ac:dyDescent="0.3">
      <c r="A51" s="12">
        <v>50</v>
      </c>
      <c r="B51" s="5" t="s">
        <v>83</v>
      </c>
      <c r="C51" s="5" t="s">
        <v>84</v>
      </c>
      <c r="D51" s="5" t="s">
        <v>906</v>
      </c>
      <c r="E51" s="5"/>
      <c r="F51" s="5"/>
      <c r="G51" s="5"/>
      <c r="H51" s="13"/>
      <c r="I51" s="13"/>
      <c r="J51" s="5"/>
      <c r="K51" s="17" t="str">
        <f>HYPERLINK("file:///C:/Users/kapil/OneDrive/Desktop/CPPandScripting/CPP_Data/Striver_DSA_Handwritten_Explanations.md#problem-050-check-if-string-is-palindrome-or-not","Notes P050")</f>
        <v>Notes P050</v>
      </c>
    </row>
    <row r="52" spans="1:11" ht="34.049999999999997" customHeight="1" x14ac:dyDescent="0.3">
      <c r="A52" s="9">
        <v>51</v>
      </c>
      <c r="B52" s="10" t="s">
        <v>85</v>
      </c>
      <c r="C52" s="10" t="s">
        <v>86</v>
      </c>
      <c r="D52" s="10" t="s">
        <v>907</v>
      </c>
      <c r="E52" s="10"/>
      <c r="F52" s="10"/>
      <c r="G52" s="10"/>
      <c r="H52" s="11"/>
      <c r="I52" s="11"/>
      <c r="J52" s="10"/>
      <c r="K52" s="16" t="str">
        <f>HYPERLINK("file:///C:/Users/kapil/OneDrive/Desktop/CPPandScripting/CPP_Data/Striver_DSA_Handwritten_Explanations.md#problem-051-fibonacci-number","Notes P051")</f>
        <v>Notes P051</v>
      </c>
    </row>
    <row r="53" spans="1:11" ht="34.049999999999997" customHeight="1" x14ac:dyDescent="0.3">
      <c r="A53" s="12">
        <v>52</v>
      </c>
      <c r="B53" s="5" t="s">
        <v>87</v>
      </c>
      <c r="C53" s="5" t="s">
        <v>88</v>
      </c>
      <c r="D53" s="5"/>
      <c r="E53" s="5"/>
      <c r="F53" s="5"/>
      <c r="G53" s="5"/>
      <c r="H53" s="13"/>
      <c r="I53" s="13"/>
      <c r="J53" s="5"/>
      <c r="K53" s="17" t="str">
        <f>HYPERLINK("file:///C:/Users/kapil/OneDrive/Desktop/CPPandScripting/CPP_Data/Striver_DSA_Handwritten_Explanations.md#problem-052-basic-hashing","Notes P052")</f>
        <v>Notes P052</v>
      </c>
    </row>
    <row r="54" spans="1:11" ht="34.049999999999997" customHeight="1" x14ac:dyDescent="0.3">
      <c r="A54" s="9">
        <v>53</v>
      </c>
      <c r="B54" s="10" t="s">
        <v>89</v>
      </c>
      <c r="C54" s="10" t="s">
        <v>90</v>
      </c>
      <c r="D54" s="10"/>
      <c r="E54" s="10"/>
      <c r="F54" s="10"/>
      <c r="G54" s="10"/>
      <c r="H54" s="11"/>
      <c r="I54" s="11"/>
      <c r="J54" s="10"/>
      <c r="K54" s="16" t="str">
        <f>HYPERLINK("file:///C:/Users/kapil/OneDrive/Desktop/CPPandScripting/CPP_Data/Striver_DSA_Handwritten_Explanations.md#problem-053-counting-frequencies-of-array-elements","Notes P053")</f>
        <v>Notes P053</v>
      </c>
    </row>
    <row r="55" spans="1:11" ht="34.049999999999997" customHeight="1" x14ac:dyDescent="0.3">
      <c r="A55" s="12">
        <v>54</v>
      </c>
      <c r="B55" s="5" t="s">
        <v>91</v>
      </c>
      <c r="C55" s="5" t="s">
        <v>92</v>
      </c>
      <c r="D55" s="5"/>
      <c r="E55" s="5"/>
      <c r="F55" s="5"/>
      <c r="G55" s="5"/>
      <c r="H55" s="13"/>
      <c r="I55" s="13"/>
      <c r="J55" s="5"/>
      <c r="K55" s="17" t="str">
        <f>HYPERLINK("file:///C:/Users/kapil/OneDrive/Desktop/CPPandScripting/CPP_Data/Striver_DSA_Handwritten_Explanations.md#problem-054-highest-occurring-element-in-an-array","Notes P054")</f>
        <v>Notes P054</v>
      </c>
    </row>
    <row r="56" spans="1:11" ht="34.049999999999997" customHeight="1" x14ac:dyDescent="0.3">
      <c r="A56" s="9">
        <v>55</v>
      </c>
      <c r="B56" s="10" t="s">
        <v>93</v>
      </c>
      <c r="C56" s="10" t="s">
        <v>94</v>
      </c>
      <c r="D56" s="10" t="s">
        <v>908</v>
      </c>
      <c r="E56" s="10"/>
      <c r="F56" s="10"/>
      <c r="G56" s="10"/>
      <c r="H56" s="11"/>
      <c r="I56" s="11"/>
      <c r="J56" s="10"/>
      <c r="K56" s="16" t="str">
        <f>HYPERLINK("file:///C:/Users/kapil/OneDrive/Desktop/CPPandScripting/CPP_Data/Striver_DSA_Handwritten_Explanations.md#problem-055-selection-sort","Notes P055")</f>
        <v>Notes P055</v>
      </c>
    </row>
    <row r="57" spans="1:11" ht="34.049999999999997" customHeight="1" x14ac:dyDescent="0.3">
      <c r="A57" s="12">
        <v>56</v>
      </c>
      <c r="B57" s="5" t="s">
        <v>95</v>
      </c>
      <c r="C57" s="5" t="s">
        <v>96</v>
      </c>
      <c r="D57" s="5" t="s">
        <v>908</v>
      </c>
      <c r="E57" s="5"/>
      <c r="F57" s="5"/>
      <c r="G57" s="5"/>
      <c r="H57" s="13"/>
      <c r="I57" s="13"/>
      <c r="J57" s="5"/>
      <c r="K57" s="17" t="str">
        <f>HYPERLINK("file:///C:/Users/kapil/OneDrive/Desktop/CPPandScripting/CPP_Data/Striver_DSA_Handwritten_Explanations.md#problem-056-bubble-sort","Notes P056")</f>
        <v>Notes P056</v>
      </c>
    </row>
    <row r="58" spans="1:11" ht="34.049999999999997" customHeight="1" x14ac:dyDescent="0.3">
      <c r="A58" s="9">
        <v>57</v>
      </c>
      <c r="B58" s="10" t="s">
        <v>97</v>
      </c>
      <c r="C58" s="10" t="s">
        <v>98</v>
      </c>
      <c r="D58" s="10" t="s">
        <v>908</v>
      </c>
      <c r="E58" s="10"/>
      <c r="F58" s="10"/>
      <c r="G58" s="10"/>
      <c r="H58" s="11"/>
      <c r="I58" s="11"/>
      <c r="J58" s="10"/>
      <c r="K58" s="16" t="str">
        <f>HYPERLINK("file:///C:/Users/kapil/OneDrive/Desktop/CPPandScripting/CPP_Data/Striver_DSA_Handwritten_Explanations.md#problem-057-insertion-sorting","Notes P057")</f>
        <v>Notes P057</v>
      </c>
    </row>
    <row r="59" spans="1:11" ht="34.049999999999997" customHeight="1" x14ac:dyDescent="0.3">
      <c r="A59" s="12">
        <v>58</v>
      </c>
      <c r="B59" s="5" t="s">
        <v>99</v>
      </c>
      <c r="C59" s="5" t="s">
        <v>100</v>
      </c>
      <c r="D59" s="5" t="s">
        <v>909</v>
      </c>
      <c r="E59" s="5"/>
      <c r="F59" s="5"/>
      <c r="G59" s="5"/>
      <c r="H59" s="13"/>
      <c r="I59" s="13"/>
      <c r="J59" s="5"/>
      <c r="K59" s="17" t="str">
        <f>HYPERLINK("file:///C:/Users/kapil/OneDrive/Desktop/CPPandScripting/CPP_Data/Striver_DSA_Handwritten_Explanations.md#problem-058-merge-sorting","Notes P058")</f>
        <v>Notes P058</v>
      </c>
    </row>
    <row r="60" spans="1:11" ht="34.049999999999997" customHeight="1" x14ac:dyDescent="0.3">
      <c r="A60" s="9">
        <v>59</v>
      </c>
      <c r="B60" s="10" t="s">
        <v>101</v>
      </c>
      <c r="C60" s="10" t="s">
        <v>102</v>
      </c>
      <c r="D60" s="10"/>
      <c r="E60" s="10"/>
      <c r="F60" s="10"/>
      <c r="G60" s="10"/>
      <c r="H60" s="11"/>
      <c r="I60" s="11"/>
      <c r="J60" s="10"/>
      <c r="K60" s="16" t="str">
        <f>HYPERLINK("file:///C:/Users/kapil/OneDrive/Desktop/CPPandScripting/CPP_Data/Striver_DSA_Handwritten_Explanations.md#problem-059-recursive-bubble-sort","Notes P059")</f>
        <v>Notes P059</v>
      </c>
    </row>
    <row r="61" spans="1:11" ht="34.049999999999997" customHeight="1" x14ac:dyDescent="0.3">
      <c r="A61" s="12">
        <v>60</v>
      </c>
      <c r="B61" s="5" t="s">
        <v>103</v>
      </c>
      <c r="C61" s="5" t="s">
        <v>104</v>
      </c>
      <c r="D61" s="5"/>
      <c r="E61" s="5"/>
      <c r="F61" s="5"/>
      <c r="G61" s="5"/>
      <c r="H61" s="13"/>
      <c r="I61" s="13"/>
      <c r="J61" s="5"/>
      <c r="K61" s="17" t="str">
        <f>HYPERLINK("file:///C:/Users/kapil/OneDrive/Desktop/CPPandScripting/CPP_Data/Striver_DSA_Handwritten_Explanations.md#problem-060-recursive-insertion-sort","Notes P060")</f>
        <v>Notes P060</v>
      </c>
    </row>
    <row r="62" spans="1:11" ht="34.049999999999997" customHeight="1" x14ac:dyDescent="0.3">
      <c r="A62" s="9">
        <v>61</v>
      </c>
      <c r="B62" s="10" t="s">
        <v>105</v>
      </c>
      <c r="C62" s="10" t="s">
        <v>106</v>
      </c>
      <c r="D62" s="10" t="s">
        <v>910</v>
      </c>
      <c r="E62" s="10"/>
      <c r="F62" s="10"/>
      <c r="G62" s="10"/>
      <c r="H62" s="11"/>
      <c r="I62" s="11"/>
      <c r="J62" s="10"/>
      <c r="K62" s="16" t="str">
        <f>HYPERLINK("file:///C:/Users/kapil/OneDrive/Desktop/CPPandScripting/CPP_Data/Striver_DSA_Handwritten_Explanations.md#problem-061-quick-sorting","Notes P061")</f>
        <v>Notes P061</v>
      </c>
    </row>
    <row r="63" spans="1:11" ht="34.049999999999997" customHeight="1" x14ac:dyDescent="0.3">
      <c r="A63" s="12">
        <v>62</v>
      </c>
      <c r="B63" s="5" t="s">
        <v>107</v>
      </c>
      <c r="C63" s="5" t="s">
        <v>108</v>
      </c>
      <c r="D63" s="5"/>
      <c r="E63" s="5"/>
      <c r="F63" s="5"/>
      <c r="G63" s="5"/>
      <c r="H63" s="13"/>
      <c r="I63" s="13"/>
      <c r="J63" s="5"/>
      <c r="K63" s="17" t="str">
        <f>HYPERLINK("file:///C:/Users/kapil/OneDrive/Desktop/CPPandScripting/CPP_Data/Striver_DSA_Handwritten_Explanations.md#problem-062-largest-element","Notes P062")</f>
        <v>Notes P062</v>
      </c>
    </row>
    <row r="64" spans="1:11" ht="34.049999999999997" customHeight="1" x14ac:dyDescent="0.3">
      <c r="A64" s="9">
        <v>63</v>
      </c>
      <c r="B64" s="10" t="s">
        <v>109</v>
      </c>
      <c r="C64" s="10" t="s">
        <v>110</v>
      </c>
      <c r="D64" s="10"/>
      <c r="E64" s="10"/>
      <c r="F64" s="10"/>
      <c r="G64" s="10"/>
      <c r="H64" s="11"/>
      <c r="I64" s="11"/>
      <c r="J64" s="10"/>
      <c r="K64" s="16" t="str">
        <f>HYPERLINK("file:///C:/Users/kapil/OneDrive/Desktop/CPPandScripting/CPP_Data/Striver_DSA_Handwritten_Explanations.md#problem-063-second-largest-element","Notes P063")</f>
        <v>Notes P063</v>
      </c>
    </row>
    <row r="65" spans="1:11" ht="34.049999999999997" customHeight="1" x14ac:dyDescent="0.3">
      <c r="A65" s="12">
        <v>64</v>
      </c>
      <c r="B65" s="5" t="s">
        <v>111</v>
      </c>
      <c r="C65" s="5" t="s">
        <v>112</v>
      </c>
      <c r="D65" s="5" t="s">
        <v>907</v>
      </c>
      <c r="E65" s="5"/>
      <c r="F65" s="5"/>
      <c r="G65" s="5"/>
      <c r="H65" s="13"/>
      <c r="I65" s="13"/>
      <c r="J65" s="5"/>
      <c r="K65" s="17" t="str">
        <f>HYPERLINK("file:///C:/Users/kapil/OneDrive/Desktop/CPPandScripting/CPP_Data/Striver_DSA_Handwritten_Explanations.md#problem-064-check-if-the-array-is-sorted-ii","Notes P064")</f>
        <v>Notes P064</v>
      </c>
    </row>
    <row r="66" spans="1:11" ht="34.049999999999997" customHeight="1" x14ac:dyDescent="0.3">
      <c r="A66" s="9">
        <v>65</v>
      </c>
      <c r="B66" s="10" t="s">
        <v>113</v>
      </c>
      <c r="C66" s="10" t="s">
        <v>114</v>
      </c>
      <c r="D66" s="10"/>
      <c r="E66" s="10"/>
      <c r="F66" s="10"/>
      <c r="G66" s="10"/>
      <c r="H66" s="11"/>
      <c r="I66" s="11"/>
      <c r="J66" s="10"/>
      <c r="K66" s="16" t="str">
        <f>HYPERLINK("file:///C:/Users/kapil/OneDrive/Desktop/CPPandScripting/CPP_Data/Striver_DSA_Handwritten_Explanations.md#problem-065-remove-duplicates-from-sorted-array","Notes P065")</f>
        <v>Notes P065</v>
      </c>
    </row>
    <row r="67" spans="1:11" ht="34.049999999999997" customHeight="1" x14ac:dyDescent="0.3">
      <c r="A67" s="12">
        <v>66</v>
      </c>
      <c r="B67" s="5" t="s">
        <v>115</v>
      </c>
      <c r="C67" s="5" t="s">
        <v>116</v>
      </c>
      <c r="D67" s="5"/>
      <c r="E67" s="5"/>
      <c r="F67" s="5"/>
      <c r="G67" s="5"/>
      <c r="H67" s="13"/>
      <c r="I67" s="13"/>
      <c r="J67" s="5"/>
      <c r="K67" s="17" t="str">
        <f>HYPERLINK("file:///C:/Users/kapil/OneDrive/Desktop/CPPandScripting/CPP_Data/Striver_DSA_Handwritten_Explanations.md#problem-066-left-rotate-array-by-one","Notes P066")</f>
        <v>Notes P066</v>
      </c>
    </row>
    <row r="68" spans="1:11" ht="34.049999999999997" customHeight="1" x14ac:dyDescent="0.3">
      <c r="A68" s="9">
        <v>67</v>
      </c>
      <c r="B68" s="10" t="s">
        <v>117</v>
      </c>
      <c r="C68" s="10" t="s">
        <v>116</v>
      </c>
      <c r="D68" s="10"/>
      <c r="E68" s="10"/>
      <c r="F68" s="10"/>
      <c r="G68" s="10"/>
      <c r="H68" s="11"/>
      <c r="I68" s="11"/>
      <c r="J68" s="10"/>
      <c r="K68" s="16" t="str">
        <f>HYPERLINK("file:///C:/Users/kapil/OneDrive/Desktop/CPPandScripting/CPP_Data/Striver_DSA_Handwritten_Explanations.md#problem-067-left-rotate-array-by-k-places","Notes P067")</f>
        <v>Notes P067</v>
      </c>
    </row>
    <row r="69" spans="1:11" ht="34.049999999999997" customHeight="1" x14ac:dyDescent="0.3">
      <c r="A69" s="12">
        <v>68</v>
      </c>
      <c r="B69" s="5" t="s">
        <v>118</v>
      </c>
      <c r="C69" s="5" t="s">
        <v>119</v>
      </c>
      <c r="D69" s="5"/>
      <c r="E69" s="5"/>
      <c r="F69" s="5"/>
      <c r="G69" s="5"/>
      <c r="H69" s="13"/>
      <c r="I69" s="13"/>
      <c r="J69" s="5"/>
      <c r="K69" s="17" t="str">
        <f>HYPERLINK("file:///C:/Users/kapil/OneDrive/Desktop/CPPandScripting/CPP_Data/Striver_DSA_Handwritten_Explanations.md#problem-068-move-zeros-to-end","Notes P068")</f>
        <v>Notes P068</v>
      </c>
    </row>
    <row r="70" spans="1:11" ht="34.049999999999997" customHeight="1" x14ac:dyDescent="0.3">
      <c r="A70" s="9">
        <v>69</v>
      </c>
      <c r="B70" s="10" t="s">
        <v>120</v>
      </c>
      <c r="C70" s="10" t="s">
        <v>121</v>
      </c>
      <c r="D70" s="10"/>
      <c r="E70" s="10"/>
      <c r="F70" s="10"/>
      <c r="G70" s="10"/>
      <c r="H70" s="11"/>
      <c r="I70" s="11"/>
      <c r="J70" s="10"/>
      <c r="K70" s="16" t="str">
        <f>HYPERLINK("file:///C:/Users/kapil/OneDrive/Desktop/CPPandScripting/CPP_Data/Striver_DSA_Handwritten_Explanations.md#problem-069-linear-search","Notes P069")</f>
        <v>Notes P069</v>
      </c>
    </row>
    <row r="71" spans="1:11" ht="34.049999999999997" customHeight="1" x14ac:dyDescent="0.3">
      <c r="A71" s="12">
        <v>70</v>
      </c>
      <c r="B71" s="5" t="s">
        <v>122</v>
      </c>
      <c r="C71" s="5" t="s">
        <v>123</v>
      </c>
      <c r="D71" s="5"/>
      <c r="E71" s="5"/>
      <c r="F71" s="5"/>
      <c r="G71" s="5"/>
      <c r="H71" s="13"/>
      <c r="I71" s="13"/>
      <c r="J71" s="5"/>
      <c r="K71" s="17" t="str">
        <f>HYPERLINK("file:///C:/Users/kapil/OneDrive/Desktop/CPPandScripting/CPP_Data/Striver_DSA_Handwritten_Explanations.md#problem-070-union-of-two-sorted-arrays","Notes P070")</f>
        <v>Notes P070</v>
      </c>
    </row>
    <row r="72" spans="1:11" ht="34.049999999999997" customHeight="1" x14ac:dyDescent="0.3">
      <c r="A72" s="9">
        <v>71</v>
      </c>
      <c r="B72" s="10" t="s">
        <v>124</v>
      </c>
      <c r="C72" s="10" t="s">
        <v>125</v>
      </c>
      <c r="D72" s="10"/>
      <c r="E72" s="10"/>
      <c r="F72" s="10"/>
      <c r="G72" s="10"/>
      <c r="H72" s="11"/>
      <c r="I72" s="11"/>
      <c r="J72" s="10"/>
      <c r="K72" s="16" t="str">
        <f>HYPERLINK("file:///C:/Users/kapil/OneDrive/Desktop/CPPandScripting/CPP_Data/Striver_DSA_Handwritten_Explanations.md#problem-071-find-missing-number","Notes P071")</f>
        <v>Notes P071</v>
      </c>
    </row>
    <row r="73" spans="1:11" ht="34.049999999999997" customHeight="1" x14ac:dyDescent="0.3">
      <c r="A73" s="12">
        <v>72</v>
      </c>
      <c r="B73" s="5" t="s">
        <v>126</v>
      </c>
      <c r="C73" s="5" t="s">
        <v>127</v>
      </c>
      <c r="D73" s="5"/>
      <c r="E73" s="5"/>
      <c r="F73" s="5"/>
      <c r="G73" s="5"/>
      <c r="H73" s="13"/>
      <c r="I73" s="13"/>
      <c r="J73" s="5"/>
      <c r="K73" s="17" t="str">
        <f>HYPERLINK("file:///C:/Users/kapil/OneDrive/Desktop/CPPandScripting/CPP_Data/Striver_DSA_Handwritten_Explanations.md#problem-072-maximum-consecutive-ones","Notes P072")</f>
        <v>Notes P072</v>
      </c>
    </row>
    <row r="74" spans="1:11" ht="34.049999999999997" customHeight="1" x14ac:dyDescent="0.3">
      <c r="A74" s="9">
        <v>73</v>
      </c>
      <c r="B74" s="10" t="s">
        <v>128</v>
      </c>
      <c r="C74" s="10" t="s">
        <v>129</v>
      </c>
      <c r="D74" s="10"/>
      <c r="E74" s="10"/>
      <c r="F74" s="10"/>
      <c r="G74" s="10"/>
      <c r="H74" s="11"/>
      <c r="I74" s="11"/>
      <c r="J74" s="10"/>
      <c r="K74" s="16" t="str">
        <f>HYPERLINK("file:///C:/Users/kapil/OneDrive/Desktop/CPPandScripting/CPP_Data/Striver_DSA_Handwritten_Explanations.md#problem-073-find-the-number-that-appears-once-and-other-number","Notes P073")</f>
        <v>Notes P073</v>
      </c>
    </row>
    <row r="75" spans="1:11" ht="34.049999999999997" customHeight="1" x14ac:dyDescent="0.3">
      <c r="A75" s="12">
        <v>74</v>
      </c>
      <c r="B75" s="5" t="s">
        <v>130</v>
      </c>
      <c r="C75" s="5" t="s">
        <v>131</v>
      </c>
      <c r="D75" s="5"/>
      <c r="E75" s="5"/>
      <c r="F75" s="5"/>
      <c r="G75" s="5"/>
      <c r="H75" s="13"/>
      <c r="I75" s="13"/>
      <c r="J75" s="5"/>
      <c r="K75" s="17" t="str">
        <f>HYPERLINK("file:///C:/Users/kapil/OneDrive/Desktop/CPPandScripting/CPP_Data/Striver_DSA_Handwritten_Explanations.md#problem-074-longest-subarray-with-given-sum-k-positives","Notes P074")</f>
        <v>Notes P074</v>
      </c>
    </row>
    <row r="76" spans="1:11" ht="34.049999999999997" customHeight="1" x14ac:dyDescent="0.3">
      <c r="A76" s="9">
        <v>75</v>
      </c>
      <c r="B76" s="10" t="s">
        <v>132</v>
      </c>
      <c r="C76" s="10" t="s">
        <v>133</v>
      </c>
      <c r="D76" s="10"/>
      <c r="E76" s="10"/>
      <c r="F76" s="10"/>
      <c r="G76" s="10"/>
      <c r="H76" s="11"/>
      <c r="I76" s="11"/>
      <c r="J76" s="10"/>
      <c r="K76" s="16" t="str">
        <f>HYPERLINK("file:///C:/Users/kapil/OneDrive/Desktop/CPPandScripting/CPP_Data/Striver_DSA_Handwritten_Explanations.md#problem-075-longest-subarray-with-sum-k","Notes P075")</f>
        <v>Notes P075</v>
      </c>
    </row>
    <row r="77" spans="1:11" ht="34.049999999999997" customHeight="1" x14ac:dyDescent="0.3">
      <c r="A77" s="12">
        <v>76</v>
      </c>
      <c r="B77" s="5" t="s">
        <v>134</v>
      </c>
      <c r="C77" s="5" t="s">
        <v>135</v>
      </c>
      <c r="D77" s="5" t="s">
        <v>911</v>
      </c>
      <c r="E77" s="5"/>
      <c r="F77" s="5"/>
      <c r="G77" s="5"/>
      <c r="H77" s="13"/>
      <c r="I77" s="13"/>
      <c r="J77" s="5"/>
      <c r="K77" s="17" t="str">
        <f>HYPERLINK("file:///C:/Users/kapil/OneDrive/Desktop/CPPandScripting/CPP_Data/Striver_DSA_Handwritten_Explanations.md#problem-076-two-sum","Notes P076")</f>
        <v>Notes P076</v>
      </c>
    </row>
    <row r="78" spans="1:11" ht="34.049999999999997" customHeight="1" x14ac:dyDescent="0.3">
      <c r="A78" s="9">
        <v>77</v>
      </c>
      <c r="B78" s="10" t="s">
        <v>136</v>
      </c>
      <c r="C78" s="10" t="s">
        <v>137</v>
      </c>
      <c r="D78" s="10" t="s">
        <v>912</v>
      </c>
      <c r="E78" s="10"/>
      <c r="F78" s="10"/>
      <c r="G78" s="10"/>
      <c r="H78" s="11"/>
      <c r="I78" s="11"/>
      <c r="J78" s="10"/>
      <c r="K78" s="16" t="str">
        <f>HYPERLINK("file:///C:/Users/kapil/OneDrive/Desktop/CPPandScripting/CPP_Data/Striver_DSA_Handwritten_Explanations.md#problem-077-sort-an-array-of-0-s-1-s-and-2-s","Notes P077")</f>
        <v>Notes P077</v>
      </c>
    </row>
    <row r="79" spans="1:11" ht="34.049999999999997" customHeight="1" x14ac:dyDescent="0.3">
      <c r="A79" s="12">
        <v>78</v>
      </c>
      <c r="B79" s="5" t="s">
        <v>138</v>
      </c>
      <c r="C79" s="5" t="s">
        <v>139</v>
      </c>
      <c r="D79" s="5" t="s">
        <v>913</v>
      </c>
      <c r="E79" s="5"/>
      <c r="F79" s="5"/>
      <c r="G79" s="5"/>
      <c r="H79" s="13"/>
      <c r="I79" s="13"/>
      <c r="J79" s="5"/>
      <c r="K79" s="17" t="str">
        <f>HYPERLINK("file:///C:/Users/kapil/OneDrive/Desktop/CPPandScripting/CPP_Data/Striver_DSA_Handwritten_Explanations.md#problem-078-majority-element-i","Notes P078")</f>
        <v>Notes P078</v>
      </c>
    </row>
    <row r="80" spans="1:11" ht="34.049999999999997" customHeight="1" x14ac:dyDescent="0.3">
      <c r="A80" s="9">
        <v>79</v>
      </c>
      <c r="B80" s="10" t="s">
        <v>140</v>
      </c>
      <c r="C80" s="10" t="s">
        <v>141</v>
      </c>
      <c r="D80" s="10" t="s">
        <v>914</v>
      </c>
      <c r="E80" s="10"/>
      <c r="F80" s="10"/>
      <c r="G80" s="10"/>
      <c r="H80" s="11"/>
      <c r="I80" s="11"/>
      <c r="J80" s="10"/>
      <c r="K80" s="16" t="str">
        <f>HYPERLINK("file:///C:/Users/kapil/OneDrive/Desktop/CPPandScripting/CPP_Data/Striver_DSA_Handwritten_Explanations.md#problem-079-kadane-s-algorithm","Notes P079")</f>
        <v>Notes P079</v>
      </c>
    </row>
    <row r="81" spans="1:11" ht="34.049999999999997" customHeight="1" x14ac:dyDescent="0.3">
      <c r="A81" s="12">
        <v>80</v>
      </c>
      <c r="B81" s="5" t="s">
        <v>142</v>
      </c>
      <c r="C81" s="5" t="s">
        <v>143</v>
      </c>
      <c r="D81" s="5" t="s">
        <v>914</v>
      </c>
      <c r="E81" s="5"/>
      <c r="F81" s="5"/>
      <c r="G81" s="5"/>
      <c r="H81" s="13"/>
      <c r="I81" s="13"/>
      <c r="J81" s="5"/>
      <c r="K81" s="17" t="str">
        <f>HYPERLINK("file:///C:/Users/kapil/OneDrive/Desktop/CPPandScripting/CPP_Data/Striver_DSA_Handwritten_Explanations.md#problem-080-print-subarray-with-maximum-subarray-sum-extended","Notes P080")</f>
        <v>Notes P080</v>
      </c>
    </row>
    <row r="82" spans="1:11" ht="34.049999999999997" customHeight="1" x14ac:dyDescent="0.3">
      <c r="A82" s="9">
        <v>81</v>
      </c>
      <c r="B82" s="10" t="s">
        <v>144</v>
      </c>
      <c r="C82" s="10" t="s">
        <v>145</v>
      </c>
      <c r="D82" s="10" t="s">
        <v>915</v>
      </c>
      <c r="E82" s="10"/>
      <c r="F82" s="10"/>
      <c r="G82" s="10"/>
      <c r="H82" s="11"/>
      <c r="I82" s="11"/>
      <c r="J82" s="10"/>
      <c r="K82" s="16" t="str">
        <f>HYPERLINK("file:///C:/Users/kapil/OneDrive/Desktop/CPPandScripting/CPP_Data/Striver_DSA_Handwritten_Explanations.md#problem-081-stock-buy-and-sell","Notes P081")</f>
        <v>Notes P081</v>
      </c>
    </row>
    <row r="83" spans="1:11" ht="34.049999999999997" customHeight="1" x14ac:dyDescent="0.3">
      <c r="A83" s="12">
        <v>82</v>
      </c>
      <c r="B83" s="5" t="s">
        <v>146</v>
      </c>
      <c r="C83" s="5" t="s">
        <v>147</v>
      </c>
      <c r="D83" s="5"/>
      <c r="E83" s="5"/>
      <c r="F83" s="5"/>
      <c r="G83" s="5"/>
      <c r="H83" s="13"/>
      <c r="I83" s="13"/>
      <c r="J83" s="5"/>
      <c r="K83" s="17" t="str">
        <f>HYPERLINK("file:///C:/Users/kapil/OneDrive/Desktop/CPPandScripting/CPP_Data/Striver_DSA_Handwritten_Explanations.md#problem-082-rearrange-array-elements-by-sign","Notes P082")</f>
        <v>Notes P082</v>
      </c>
    </row>
    <row r="84" spans="1:11" ht="34.049999999999997" customHeight="1" x14ac:dyDescent="0.3">
      <c r="A84" s="9">
        <v>83</v>
      </c>
      <c r="B84" s="10" t="s">
        <v>148</v>
      </c>
      <c r="C84" s="10" t="s">
        <v>149</v>
      </c>
      <c r="D84" s="10" t="s">
        <v>916</v>
      </c>
      <c r="E84" s="10"/>
      <c r="F84" s="10"/>
      <c r="G84" s="10"/>
      <c r="H84" s="11"/>
      <c r="I84" s="11"/>
      <c r="J84" s="10"/>
      <c r="K84" s="16" t="str">
        <f>HYPERLINK("file:///C:/Users/kapil/OneDrive/Desktop/CPPandScripting/CPP_Data/Striver_DSA_Handwritten_Explanations.md#problem-083-next-permutation","Notes P083")</f>
        <v>Notes P083</v>
      </c>
    </row>
    <row r="85" spans="1:11" ht="34.049999999999997" customHeight="1" x14ac:dyDescent="0.3">
      <c r="A85" s="12">
        <v>84</v>
      </c>
      <c r="B85" s="5" t="s">
        <v>150</v>
      </c>
      <c r="C85" s="5" t="s">
        <v>151</v>
      </c>
      <c r="D85" s="5"/>
      <c r="E85" s="5"/>
      <c r="F85" s="5"/>
      <c r="G85" s="5"/>
      <c r="H85" s="13"/>
      <c r="I85" s="13"/>
      <c r="J85" s="5"/>
      <c r="K85" s="17" t="str">
        <f>HYPERLINK("file:///C:/Users/kapil/OneDrive/Desktop/CPPandScripting/CPP_Data/Striver_DSA_Handwritten_Explanations.md#problem-084-leaders-in-an-array","Notes P084")</f>
        <v>Notes P084</v>
      </c>
    </row>
    <row r="86" spans="1:11" ht="34.049999999999997" customHeight="1" x14ac:dyDescent="0.3">
      <c r="A86" s="9">
        <v>85</v>
      </c>
      <c r="B86" s="10" t="s">
        <v>152</v>
      </c>
      <c r="C86" s="10" t="s">
        <v>153</v>
      </c>
      <c r="D86" s="10"/>
      <c r="E86" s="10"/>
      <c r="F86" s="10"/>
      <c r="G86" s="10"/>
      <c r="H86" s="11"/>
      <c r="I86" s="11"/>
      <c r="J86" s="10"/>
      <c r="K86" s="16" t="str">
        <f>HYPERLINK("file:///C:/Users/kapil/OneDrive/Desktop/CPPandScripting/CPP_Data/Striver_DSA_Handwritten_Explanations.md#problem-085-longest-consecutive-sequence-in-an-array","Notes P085")</f>
        <v>Notes P085</v>
      </c>
    </row>
    <row r="87" spans="1:11" ht="34.049999999999997" customHeight="1" x14ac:dyDescent="0.3">
      <c r="A87" s="12">
        <v>86</v>
      </c>
      <c r="B87" s="5" t="s">
        <v>154</v>
      </c>
      <c r="C87" s="5" t="s">
        <v>155</v>
      </c>
      <c r="D87" s="5"/>
      <c r="E87" s="5"/>
      <c r="F87" s="5"/>
      <c r="G87" s="5"/>
      <c r="H87" s="13"/>
      <c r="I87" s="13"/>
      <c r="J87" s="5"/>
      <c r="K87" s="17" t="str">
        <f>HYPERLINK("file:///C:/Users/kapil/OneDrive/Desktop/CPPandScripting/CPP_Data/Striver_DSA_Handwritten_Explanations.md#problem-086-set-matrix-zeroes","Notes P086")</f>
        <v>Notes P086</v>
      </c>
    </row>
    <row r="88" spans="1:11" ht="34.049999999999997" customHeight="1" x14ac:dyDescent="0.3">
      <c r="A88" s="9">
        <v>87</v>
      </c>
      <c r="B88" s="10" t="s">
        <v>156</v>
      </c>
      <c r="C88" s="10" t="s">
        <v>157</v>
      </c>
      <c r="D88" s="10"/>
      <c r="E88" s="10"/>
      <c r="F88" s="10"/>
      <c r="G88" s="10"/>
      <c r="H88" s="11"/>
      <c r="I88" s="11"/>
      <c r="J88" s="10"/>
      <c r="K88" s="16" t="str">
        <f>HYPERLINK("file:///C:/Users/kapil/OneDrive/Desktop/CPPandScripting/CPP_Data/Striver_DSA_Handwritten_Explanations.md#problem-087-rotate-matrix-by-90-degrees","Notes P087")</f>
        <v>Notes P087</v>
      </c>
    </row>
    <row r="89" spans="1:11" ht="34.049999999999997" customHeight="1" x14ac:dyDescent="0.3">
      <c r="A89" s="12">
        <v>88</v>
      </c>
      <c r="B89" s="5" t="s">
        <v>158</v>
      </c>
      <c r="C89" s="5" t="s">
        <v>159</v>
      </c>
      <c r="D89" s="5" t="s">
        <v>917</v>
      </c>
      <c r="E89" s="5"/>
      <c r="F89" s="5"/>
      <c r="G89" s="5"/>
      <c r="H89" s="13"/>
      <c r="I89" s="13"/>
      <c r="J89" s="5"/>
      <c r="K89" s="17" t="str">
        <f>HYPERLINK("file:///C:/Users/kapil/OneDrive/Desktop/CPPandScripting/CPP_Data/Striver_DSA_Handwritten_Explanations.md#problem-088-print-the-matrix-in-spiral-manner","Notes P088")</f>
        <v>Notes P088</v>
      </c>
    </row>
    <row r="90" spans="1:11" ht="34.049999999999997" customHeight="1" x14ac:dyDescent="0.3">
      <c r="A90" s="9">
        <v>89</v>
      </c>
      <c r="B90" s="10" t="s">
        <v>160</v>
      </c>
      <c r="C90" s="10" t="s">
        <v>161</v>
      </c>
      <c r="D90" s="10" t="s">
        <v>918</v>
      </c>
      <c r="E90" s="10"/>
      <c r="F90" s="10"/>
      <c r="G90" s="10"/>
      <c r="H90" s="11"/>
      <c r="I90" s="11"/>
      <c r="J90" s="10"/>
      <c r="K90" s="16" t="str">
        <f>HYPERLINK("file:///C:/Users/kapil/OneDrive/Desktop/CPPandScripting/CPP_Data/Striver_DSA_Handwritten_Explanations.md#problem-089-count-subarrays-with-given-sum","Notes P089")</f>
        <v>Notes P089</v>
      </c>
    </row>
    <row r="91" spans="1:11" ht="34.049999999999997" customHeight="1" x14ac:dyDescent="0.3">
      <c r="A91" s="12">
        <v>90</v>
      </c>
      <c r="B91" s="5" t="s">
        <v>162</v>
      </c>
      <c r="C91" s="5" t="s">
        <v>163</v>
      </c>
      <c r="D91" s="5"/>
      <c r="E91" s="5"/>
      <c r="F91" s="5"/>
      <c r="G91" s="5"/>
      <c r="H91" s="13"/>
      <c r="I91" s="13"/>
      <c r="J91" s="5"/>
      <c r="K91" s="17" t="str">
        <f>HYPERLINK("file:///C:/Users/kapil/OneDrive/Desktop/CPPandScripting/CPP_Data/Striver_DSA_Handwritten_Explanations.md#problem-090-pascal-s-triangle-i","Notes P090")</f>
        <v>Notes P090</v>
      </c>
    </row>
    <row r="92" spans="1:11" ht="34.049999999999997" customHeight="1" x14ac:dyDescent="0.3">
      <c r="A92" s="9">
        <v>91</v>
      </c>
      <c r="B92" s="10" t="s">
        <v>164</v>
      </c>
      <c r="C92" s="10" t="s">
        <v>165</v>
      </c>
      <c r="D92" s="10"/>
      <c r="E92" s="10"/>
      <c r="F92" s="10"/>
      <c r="G92" s="10"/>
      <c r="H92" s="11"/>
      <c r="I92" s="11"/>
      <c r="J92" s="10"/>
      <c r="K92" s="16" t="str">
        <f>HYPERLINK("file:///C:/Users/kapil/OneDrive/Desktop/CPPandScripting/CPP_Data/Striver_DSA_Handwritten_Explanations.md#problem-091-majority-element-ii","Notes P091")</f>
        <v>Notes P091</v>
      </c>
    </row>
    <row r="93" spans="1:11" ht="34.049999999999997" customHeight="1" x14ac:dyDescent="0.3">
      <c r="A93" s="12">
        <v>92</v>
      </c>
      <c r="B93" s="5" t="s">
        <v>166</v>
      </c>
      <c r="C93" s="5" t="s">
        <v>167</v>
      </c>
      <c r="D93" s="5" t="s">
        <v>919</v>
      </c>
      <c r="E93" s="5"/>
      <c r="F93" s="5"/>
      <c r="G93" s="5"/>
      <c r="H93" s="13"/>
      <c r="I93" s="13"/>
      <c r="J93" s="5"/>
      <c r="K93" s="17" t="str">
        <f>HYPERLINK("file:///C:/Users/kapil/OneDrive/Desktop/CPPandScripting/CPP_Data/Striver_DSA_Handwritten_Explanations.md#problem-092-3-sum","Notes P092")</f>
        <v>Notes P092</v>
      </c>
    </row>
    <row r="94" spans="1:11" ht="34.049999999999997" customHeight="1" x14ac:dyDescent="0.3">
      <c r="A94" s="9">
        <v>93</v>
      </c>
      <c r="B94" s="10" t="s">
        <v>168</v>
      </c>
      <c r="C94" s="10" t="s">
        <v>169</v>
      </c>
      <c r="D94" s="10" t="s">
        <v>920</v>
      </c>
      <c r="E94" s="10"/>
      <c r="F94" s="10"/>
      <c r="G94" s="10"/>
      <c r="H94" s="11"/>
      <c r="I94" s="11"/>
      <c r="J94" s="10"/>
      <c r="K94" s="16" t="str">
        <f>HYPERLINK("file:///C:/Users/kapil/OneDrive/Desktop/CPPandScripting/CPP_Data/Striver_DSA_Handwritten_Explanations.md#problem-093-4-sum","Notes P093")</f>
        <v>Notes P093</v>
      </c>
    </row>
    <row r="95" spans="1:11" ht="34.049999999999997" customHeight="1" x14ac:dyDescent="0.3">
      <c r="A95" s="12">
        <v>94</v>
      </c>
      <c r="B95" s="5" t="s">
        <v>170</v>
      </c>
      <c r="C95" s="5" t="s">
        <v>133</v>
      </c>
      <c r="D95" s="5"/>
      <c r="E95" s="5"/>
      <c r="F95" s="5"/>
      <c r="G95" s="5"/>
      <c r="H95" s="13"/>
      <c r="I95" s="13"/>
      <c r="J95" s="5"/>
      <c r="K95" s="17" t="str">
        <f>HYPERLINK("file:///C:/Users/kapil/OneDrive/Desktop/CPPandScripting/CPP_Data/Striver_DSA_Handwritten_Explanations.md#problem-094-largest-subarray-with-sum-0","Notes P094")</f>
        <v>Notes P094</v>
      </c>
    </row>
    <row r="96" spans="1:11" ht="34.049999999999997" customHeight="1" x14ac:dyDescent="0.3">
      <c r="A96" s="9">
        <v>95</v>
      </c>
      <c r="B96" s="10" t="s">
        <v>171</v>
      </c>
      <c r="C96" s="10" t="s">
        <v>172</v>
      </c>
      <c r="D96" s="10"/>
      <c r="E96" s="10"/>
      <c r="F96" s="10"/>
      <c r="G96" s="10"/>
      <c r="H96" s="11"/>
      <c r="I96" s="11"/>
      <c r="J96" s="10"/>
      <c r="K96" s="16" t="str">
        <f>HYPERLINK("file:///C:/Users/kapil/OneDrive/Desktop/CPPandScripting/CPP_Data/Striver_DSA_Handwritten_Explanations.md#problem-095-count-subarrays-with-given-xor-k","Notes P095")</f>
        <v>Notes P095</v>
      </c>
    </row>
    <row r="97" spans="1:11" ht="34.049999999999997" customHeight="1" x14ac:dyDescent="0.3">
      <c r="A97" s="12">
        <v>96</v>
      </c>
      <c r="B97" s="5" t="s">
        <v>173</v>
      </c>
      <c r="C97" s="5" t="s">
        <v>174</v>
      </c>
      <c r="D97" s="5"/>
      <c r="E97" s="5"/>
      <c r="F97" s="5"/>
      <c r="G97" s="5"/>
      <c r="H97" s="13"/>
      <c r="I97" s="13"/>
      <c r="J97" s="5"/>
      <c r="K97" s="17" t="str">
        <f>HYPERLINK("file:///C:/Users/kapil/OneDrive/Desktop/CPPandScripting/CPP_Data/Striver_DSA_Handwritten_Explanations.md#problem-096-merge-overlapping-subintervals","Notes P096")</f>
        <v>Notes P096</v>
      </c>
    </row>
    <row r="98" spans="1:11" ht="34.049999999999997" customHeight="1" x14ac:dyDescent="0.3">
      <c r="A98" s="9">
        <v>97</v>
      </c>
      <c r="B98" s="10" t="s">
        <v>175</v>
      </c>
      <c r="C98" s="10" t="s">
        <v>176</v>
      </c>
      <c r="D98" s="10" t="s">
        <v>916</v>
      </c>
      <c r="E98" s="10"/>
      <c r="F98" s="10"/>
      <c r="G98" s="10"/>
      <c r="H98" s="11"/>
      <c r="I98" s="11"/>
      <c r="J98" s="10"/>
      <c r="K98" s="16" t="str">
        <f>HYPERLINK("file:///C:/Users/kapil/OneDrive/Desktop/CPPandScripting/CPP_Data/Striver_DSA_Handwritten_Explanations.md#problem-097-merge-two-sorted-arrays-without-extra-space","Notes P097")</f>
        <v>Notes P097</v>
      </c>
    </row>
    <row r="99" spans="1:11" ht="34.049999999999997" customHeight="1" x14ac:dyDescent="0.3">
      <c r="A99" s="12">
        <v>98</v>
      </c>
      <c r="B99" s="5" t="s">
        <v>177</v>
      </c>
      <c r="C99" s="5" t="s">
        <v>178</v>
      </c>
      <c r="D99" s="5" t="s">
        <v>911</v>
      </c>
      <c r="E99" s="5"/>
      <c r="F99" s="5"/>
      <c r="G99" s="5"/>
      <c r="H99" s="13"/>
      <c r="I99" s="13"/>
      <c r="J99" s="5"/>
      <c r="K99" s="17" t="str">
        <f>HYPERLINK("file:///C:/Users/kapil/OneDrive/Desktop/CPPandScripting/CPP_Data/Striver_DSA_Handwritten_Explanations.md#problem-098-find-the-repeating-and-missing-number","Notes P098")</f>
        <v>Notes P098</v>
      </c>
    </row>
    <row r="100" spans="1:11" ht="34.049999999999997" customHeight="1" x14ac:dyDescent="0.3">
      <c r="A100" s="9">
        <v>99</v>
      </c>
      <c r="B100" s="10" t="s">
        <v>179</v>
      </c>
      <c r="C100" s="10" t="s">
        <v>180</v>
      </c>
      <c r="D100" s="10" t="s">
        <v>921</v>
      </c>
      <c r="E100" s="10"/>
      <c r="F100" s="10"/>
      <c r="G100" s="10"/>
      <c r="H100" s="11"/>
      <c r="I100" s="11"/>
      <c r="J100" s="10"/>
      <c r="K100" s="16" t="str">
        <f>HYPERLINK("file:///C:/Users/kapil/OneDrive/Desktop/CPPandScripting/CPP_Data/Striver_DSA_Handwritten_Explanations.md#problem-099-count-inversions","Notes P099")</f>
        <v>Notes P099</v>
      </c>
    </row>
    <row r="101" spans="1:11" ht="34.049999999999997" customHeight="1" x14ac:dyDescent="0.3">
      <c r="A101" s="12">
        <v>100</v>
      </c>
      <c r="B101" s="5" t="s">
        <v>181</v>
      </c>
      <c r="C101" s="5" t="s">
        <v>182</v>
      </c>
      <c r="D101" s="5"/>
      <c r="E101" s="5"/>
      <c r="F101" s="5"/>
      <c r="G101" s="5"/>
      <c r="H101" s="13"/>
      <c r="I101" s="13"/>
      <c r="J101" s="5"/>
      <c r="K101" s="17" t="str">
        <f>HYPERLINK("file:///C:/Users/kapil/OneDrive/Desktop/CPPandScripting/CPP_Data/Striver_DSA_Handwritten_Explanations.md#problem-100-reverse-pairs","Notes P100")</f>
        <v>Notes P100</v>
      </c>
    </row>
    <row r="102" spans="1:11" ht="34.049999999999997" customHeight="1" x14ac:dyDescent="0.3">
      <c r="A102" s="9">
        <v>101</v>
      </c>
      <c r="B102" s="10" t="s">
        <v>183</v>
      </c>
      <c r="C102" s="10" t="s">
        <v>184</v>
      </c>
      <c r="D102" s="10"/>
      <c r="E102" s="10"/>
      <c r="F102" s="10"/>
      <c r="G102" s="10"/>
      <c r="H102" s="11"/>
      <c r="I102" s="11"/>
      <c r="J102" s="10"/>
      <c r="K102" s="16" t="str">
        <f>HYPERLINK("file:///C:/Users/kapil/OneDrive/Desktop/CPPandScripting/CPP_Data/Striver_DSA_Handwritten_Explanations.md#problem-101-maximum-product-subarray-in-an-array","Notes P101")</f>
        <v>Notes P101</v>
      </c>
    </row>
    <row r="103" spans="1:11" ht="34.049999999999997" customHeight="1" x14ac:dyDescent="0.3">
      <c r="A103" s="12">
        <v>102</v>
      </c>
      <c r="B103" s="5" t="s">
        <v>185</v>
      </c>
      <c r="C103" s="5" t="s">
        <v>186</v>
      </c>
      <c r="D103" s="5" t="s">
        <v>922</v>
      </c>
      <c r="E103" s="5"/>
      <c r="F103" s="5"/>
      <c r="G103" s="5"/>
      <c r="H103" s="13"/>
      <c r="I103" s="13"/>
      <c r="J103" s="5"/>
      <c r="K103" s="17" t="str">
        <f>HYPERLINK("file:///C:/Users/kapil/OneDrive/Desktop/CPPandScripting/CPP_Data/Striver_DSA_Handwritten_Explanations.md#problem-102-search-x-in-sorted-array","Notes P102")</f>
        <v>Notes P102</v>
      </c>
    </row>
    <row r="104" spans="1:11" ht="34.049999999999997" customHeight="1" x14ac:dyDescent="0.3">
      <c r="A104" s="9">
        <v>103</v>
      </c>
      <c r="B104" s="10" t="s">
        <v>187</v>
      </c>
      <c r="C104" s="10" t="s">
        <v>188</v>
      </c>
      <c r="D104" s="10"/>
      <c r="E104" s="10"/>
      <c r="F104" s="10"/>
      <c r="G104" s="10"/>
      <c r="H104" s="11"/>
      <c r="I104" s="11"/>
      <c r="J104" s="10"/>
      <c r="K104" s="16" t="str">
        <f>HYPERLINK("file:///C:/Users/kapil/OneDrive/Desktop/CPPandScripting/CPP_Data/Striver_DSA_Handwritten_Explanations.md#problem-103-lower-bound","Notes P103")</f>
        <v>Notes P103</v>
      </c>
    </row>
    <row r="105" spans="1:11" ht="34.049999999999997" customHeight="1" x14ac:dyDescent="0.3">
      <c r="A105" s="12">
        <v>104</v>
      </c>
      <c r="B105" s="5" t="s">
        <v>189</v>
      </c>
      <c r="C105" s="5" t="s">
        <v>190</v>
      </c>
      <c r="D105" s="5"/>
      <c r="E105" s="5"/>
      <c r="F105" s="5"/>
      <c r="G105" s="5"/>
      <c r="H105" s="13"/>
      <c r="I105" s="13"/>
      <c r="J105" s="5"/>
      <c r="K105" s="17" t="str">
        <f>HYPERLINK("file:///C:/Users/kapil/OneDrive/Desktop/CPPandScripting/CPP_Data/Striver_DSA_Handwritten_Explanations.md#problem-104-upper-bound","Notes P104")</f>
        <v>Notes P104</v>
      </c>
    </row>
    <row r="106" spans="1:11" ht="34.049999999999997" customHeight="1" x14ac:dyDescent="0.3">
      <c r="A106" s="9">
        <v>105</v>
      </c>
      <c r="B106" s="10" t="s">
        <v>191</v>
      </c>
      <c r="C106" s="10" t="s">
        <v>192</v>
      </c>
      <c r="D106" s="10"/>
      <c r="E106" s="10"/>
      <c r="F106" s="10"/>
      <c r="G106" s="10"/>
      <c r="H106" s="11"/>
      <c r="I106" s="11"/>
      <c r="J106" s="10"/>
      <c r="K106" s="16" t="str">
        <f>HYPERLINK("file:///C:/Users/kapil/OneDrive/Desktop/CPPandScripting/CPP_Data/Striver_DSA_Handwritten_Explanations.md#problem-105-search-insert-position","Notes P105")</f>
        <v>Notes P105</v>
      </c>
    </row>
    <row r="107" spans="1:11" ht="34.049999999999997" customHeight="1" x14ac:dyDescent="0.3">
      <c r="A107" s="12">
        <v>106</v>
      </c>
      <c r="B107" s="5" t="s">
        <v>193</v>
      </c>
      <c r="C107" s="5" t="s">
        <v>194</v>
      </c>
      <c r="D107" s="5"/>
      <c r="E107" s="5"/>
      <c r="F107" s="5"/>
      <c r="G107" s="5"/>
      <c r="H107" s="13"/>
      <c r="I107" s="13"/>
      <c r="J107" s="5"/>
      <c r="K107" s="17" t="str">
        <f>HYPERLINK("file:///C:/Users/kapil/OneDrive/Desktop/CPPandScripting/CPP_Data/Striver_DSA_Handwritten_Explanations.md#problem-106-floor-and-ceil-in-sorted-array","Notes P106")</f>
        <v>Notes P106</v>
      </c>
    </row>
    <row r="108" spans="1:11" ht="34.049999999999997" customHeight="1" x14ac:dyDescent="0.3">
      <c r="A108" s="9">
        <v>107</v>
      </c>
      <c r="B108" s="10" t="s">
        <v>195</v>
      </c>
      <c r="C108" s="10" t="s">
        <v>196</v>
      </c>
      <c r="D108" s="10"/>
      <c r="E108" s="10"/>
      <c r="F108" s="10"/>
      <c r="G108" s="10"/>
      <c r="H108" s="11"/>
      <c r="I108" s="11"/>
      <c r="J108" s="10"/>
      <c r="K108" s="16" t="str">
        <f>HYPERLINK("file:///C:/Users/kapil/OneDrive/Desktop/CPPandScripting/CPP_Data/Striver_DSA_Handwritten_Explanations.md#problem-107-first-and-last-occurrence","Notes P107")</f>
        <v>Notes P107</v>
      </c>
    </row>
    <row r="109" spans="1:11" ht="34.049999999999997" customHeight="1" x14ac:dyDescent="0.3">
      <c r="A109" s="12">
        <v>108</v>
      </c>
      <c r="B109" s="5" t="s">
        <v>197</v>
      </c>
      <c r="C109" s="5" t="s">
        <v>198</v>
      </c>
      <c r="D109" s="5"/>
      <c r="E109" s="5"/>
      <c r="F109" s="5"/>
      <c r="G109" s="5"/>
      <c r="H109" s="13"/>
      <c r="I109" s="13"/>
      <c r="J109" s="5"/>
      <c r="K109" s="17" t="str">
        <f>HYPERLINK("file:///C:/Users/kapil/OneDrive/Desktop/CPPandScripting/CPP_Data/Striver_DSA_Handwritten_Explanations.md#problem-108-count-occurrences-in-a-sorted-array","Notes P108")</f>
        <v>Notes P108</v>
      </c>
    </row>
    <row r="110" spans="1:11" ht="34.049999999999997" customHeight="1" x14ac:dyDescent="0.3">
      <c r="A110" s="9">
        <v>109</v>
      </c>
      <c r="B110" s="10" t="s">
        <v>199</v>
      </c>
      <c r="C110" s="10" t="s">
        <v>200</v>
      </c>
      <c r="D110" s="10" t="s">
        <v>923</v>
      </c>
      <c r="E110" s="10"/>
      <c r="F110" s="10"/>
      <c r="G110" s="10"/>
      <c r="H110" s="11"/>
      <c r="I110" s="11"/>
      <c r="J110" s="10"/>
      <c r="K110" s="16" t="str">
        <f>HYPERLINK("file:///C:/Users/kapil/OneDrive/Desktop/CPPandScripting/CPP_Data/Striver_DSA_Handwritten_Explanations.md#problem-109-search-in-rotated-sorted-array-i","Notes P109")</f>
        <v>Notes P109</v>
      </c>
    </row>
    <row r="111" spans="1:11" ht="34.049999999999997" customHeight="1" x14ac:dyDescent="0.3">
      <c r="A111" s="12">
        <v>110</v>
      </c>
      <c r="B111" s="5" t="s">
        <v>201</v>
      </c>
      <c r="C111" s="5" t="s">
        <v>202</v>
      </c>
      <c r="D111" s="5"/>
      <c r="E111" s="5"/>
      <c r="F111" s="5"/>
      <c r="G111" s="5"/>
      <c r="H111" s="13"/>
      <c r="I111" s="13"/>
      <c r="J111" s="5"/>
      <c r="K111" s="17" t="str">
        <f>HYPERLINK("file:///C:/Users/kapil/OneDrive/Desktop/CPPandScripting/CPP_Data/Striver_DSA_Handwritten_Explanations.md#problem-110-search-in-rotated-sorted-array-ii","Notes P110")</f>
        <v>Notes P110</v>
      </c>
    </row>
    <row r="112" spans="1:11" ht="34.049999999999997" customHeight="1" x14ac:dyDescent="0.3">
      <c r="A112" s="9">
        <v>111</v>
      </c>
      <c r="B112" s="10" t="s">
        <v>203</v>
      </c>
      <c r="C112" s="10" t="s">
        <v>204</v>
      </c>
      <c r="D112" s="10"/>
      <c r="E112" s="10"/>
      <c r="F112" s="10"/>
      <c r="G112" s="10"/>
      <c r="H112" s="11"/>
      <c r="I112" s="11"/>
      <c r="J112" s="10"/>
      <c r="K112" s="16" t="str">
        <f>HYPERLINK("file:///C:/Users/kapil/OneDrive/Desktop/CPPandScripting/CPP_Data/Striver_DSA_Handwritten_Explanations.md#problem-111-find-minimum-in-rotated-sorted-array","Notes P111")</f>
        <v>Notes P111</v>
      </c>
    </row>
    <row r="113" spans="1:11" ht="34.049999999999997" customHeight="1" x14ac:dyDescent="0.3">
      <c r="A113" s="12">
        <v>112</v>
      </c>
      <c r="B113" s="5" t="s">
        <v>205</v>
      </c>
      <c r="C113" s="5" t="s">
        <v>206</v>
      </c>
      <c r="D113" s="5"/>
      <c r="E113" s="5"/>
      <c r="F113" s="5"/>
      <c r="G113" s="5"/>
      <c r="H113" s="13"/>
      <c r="I113" s="13"/>
      <c r="J113" s="5"/>
      <c r="K113" s="17" t="str">
        <f>HYPERLINK("file:///C:/Users/kapil/OneDrive/Desktop/CPPandScripting/CPP_Data/Striver_DSA_Handwritten_Explanations.md#problem-112-find-out-how-many-times-the-array-is-rotated","Notes P112")</f>
        <v>Notes P112</v>
      </c>
    </row>
    <row r="114" spans="1:11" ht="34.049999999999997" customHeight="1" x14ac:dyDescent="0.3">
      <c r="A114" s="9">
        <v>113</v>
      </c>
      <c r="B114" s="10" t="s">
        <v>207</v>
      </c>
      <c r="C114" s="10" t="s">
        <v>208</v>
      </c>
      <c r="D114" s="10" t="s">
        <v>924</v>
      </c>
      <c r="E114" s="10"/>
      <c r="F114" s="10"/>
      <c r="G114" s="10"/>
      <c r="H114" s="11"/>
      <c r="I114" s="11"/>
      <c r="J114" s="10"/>
      <c r="K114" s="16" t="str">
        <f>HYPERLINK("file:///C:/Users/kapil/OneDrive/Desktop/CPPandScripting/CPP_Data/Striver_DSA_Handwritten_Explanations.md#problem-113-single-element-in-a-sorted-array","Notes P113")</f>
        <v>Notes P113</v>
      </c>
    </row>
    <row r="115" spans="1:11" ht="34.049999999999997" customHeight="1" x14ac:dyDescent="0.3">
      <c r="A115" s="12">
        <v>114</v>
      </c>
      <c r="B115" s="5" t="s">
        <v>209</v>
      </c>
      <c r="C115" s="5" t="s">
        <v>210</v>
      </c>
      <c r="D115" s="5" t="s">
        <v>925</v>
      </c>
      <c r="E115" s="5"/>
      <c r="F115" s="5"/>
      <c r="G115" s="5"/>
      <c r="H115" s="13"/>
      <c r="I115" s="13"/>
      <c r="J115" s="5"/>
      <c r="K115" s="17" t="str">
        <f>HYPERLINK("file:///C:/Users/kapil/OneDrive/Desktop/CPPandScripting/CPP_Data/Striver_DSA_Handwritten_Explanations.md#problem-114-find-peak-element","Notes P114")</f>
        <v>Notes P114</v>
      </c>
    </row>
    <row r="116" spans="1:11" ht="34.049999999999997" customHeight="1" x14ac:dyDescent="0.3">
      <c r="A116" s="9">
        <v>115</v>
      </c>
      <c r="B116" s="10" t="s">
        <v>211</v>
      </c>
      <c r="C116" s="10" t="s">
        <v>212</v>
      </c>
      <c r="D116" s="10"/>
      <c r="E116" s="10"/>
      <c r="F116" s="10"/>
      <c r="G116" s="10"/>
      <c r="H116" s="11"/>
      <c r="I116" s="11"/>
      <c r="J116" s="10"/>
      <c r="K116" s="16" t="str">
        <f>HYPERLINK("file:///C:/Users/kapil/OneDrive/Desktop/CPPandScripting/CPP_Data/Striver_DSA_Handwritten_Explanations.md#problem-115-find-square-root-of-a-number","Notes P115")</f>
        <v>Notes P115</v>
      </c>
    </row>
    <row r="117" spans="1:11" ht="34.049999999999997" customHeight="1" x14ac:dyDescent="0.3">
      <c r="A117" s="12">
        <v>116</v>
      </c>
      <c r="B117" s="5" t="s">
        <v>213</v>
      </c>
      <c r="C117" s="5" t="s">
        <v>214</v>
      </c>
      <c r="D117" s="5"/>
      <c r="E117" s="5"/>
      <c r="F117" s="5"/>
      <c r="G117" s="5"/>
      <c r="H117" s="13"/>
      <c r="I117" s="13"/>
      <c r="J117" s="5"/>
      <c r="K117" s="17" t="str">
        <f>HYPERLINK("file:///C:/Users/kapil/OneDrive/Desktop/CPPandScripting/CPP_Data/Striver_DSA_Handwritten_Explanations.md#problem-116-find-nth-root-of-a-number","Notes P116")</f>
        <v>Notes P116</v>
      </c>
    </row>
    <row r="118" spans="1:11" ht="34.049999999999997" customHeight="1" x14ac:dyDescent="0.3">
      <c r="A118" s="9">
        <v>117</v>
      </c>
      <c r="B118" s="10" t="s">
        <v>215</v>
      </c>
      <c r="C118" s="10" t="s">
        <v>216</v>
      </c>
      <c r="D118" s="10"/>
      <c r="E118" s="10"/>
      <c r="F118" s="10"/>
      <c r="G118" s="10"/>
      <c r="H118" s="11"/>
      <c r="I118" s="11"/>
      <c r="J118" s="10"/>
      <c r="K118" s="16" t="str">
        <f>HYPERLINK("file:///C:/Users/kapil/OneDrive/Desktop/CPPandScripting/CPP_Data/Striver_DSA_Handwritten_Explanations.md#problem-117-koko-eating-bananas","Notes P117")</f>
        <v>Notes P117</v>
      </c>
    </row>
    <row r="119" spans="1:11" ht="34.049999999999997" customHeight="1" x14ac:dyDescent="0.3">
      <c r="A119" s="12">
        <v>118</v>
      </c>
      <c r="B119" s="5" t="s">
        <v>217</v>
      </c>
      <c r="C119" s="5" t="s">
        <v>218</v>
      </c>
      <c r="D119" s="5"/>
      <c r="E119" s="5"/>
      <c r="F119" s="5"/>
      <c r="G119" s="5"/>
      <c r="H119" s="13"/>
      <c r="I119" s="13"/>
      <c r="J119" s="5"/>
      <c r="K119" s="17" t="str">
        <f>HYPERLINK("file:///C:/Users/kapil/OneDrive/Desktop/CPPandScripting/CPP_Data/Striver_DSA_Handwritten_Explanations.md#problem-118-minimum-days-to-make-m-bouquets","Notes P118")</f>
        <v>Notes P118</v>
      </c>
    </row>
    <row r="120" spans="1:11" ht="34.049999999999997" customHeight="1" x14ac:dyDescent="0.3">
      <c r="A120" s="9">
        <v>119</v>
      </c>
      <c r="B120" s="10" t="s">
        <v>219</v>
      </c>
      <c r="C120" s="10" t="s">
        <v>220</v>
      </c>
      <c r="D120" s="10"/>
      <c r="E120" s="10"/>
      <c r="F120" s="10"/>
      <c r="G120" s="10"/>
      <c r="H120" s="11"/>
      <c r="I120" s="11"/>
      <c r="J120" s="10"/>
      <c r="K120" s="16" t="str">
        <f>HYPERLINK("file:///C:/Users/kapil/OneDrive/Desktop/CPPandScripting/CPP_Data/Striver_DSA_Handwritten_Explanations.md#problem-119-find-the-smallest-divisor","Notes P119")</f>
        <v>Notes P119</v>
      </c>
    </row>
    <row r="121" spans="1:11" ht="34.049999999999997" customHeight="1" x14ac:dyDescent="0.3">
      <c r="A121" s="12">
        <v>120</v>
      </c>
      <c r="B121" s="5" t="s">
        <v>221</v>
      </c>
      <c r="C121" s="5" t="s">
        <v>222</v>
      </c>
      <c r="D121" s="5"/>
      <c r="E121" s="5"/>
      <c r="F121" s="5"/>
      <c r="G121" s="5"/>
      <c r="H121" s="13"/>
      <c r="I121" s="13"/>
      <c r="J121" s="5"/>
      <c r="K121" s="17" t="str">
        <f>HYPERLINK("file:///C:/Users/kapil/OneDrive/Desktop/CPPandScripting/CPP_Data/Striver_DSA_Handwritten_Explanations.md#problem-120-capacity-to-ship-packages-within-d-days","Notes P120")</f>
        <v>Notes P120</v>
      </c>
    </row>
    <row r="122" spans="1:11" ht="34.049999999999997" customHeight="1" x14ac:dyDescent="0.3">
      <c r="A122" s="9">
        <v>121</v>
      </c>
      <c r="B122" s="10" t="s">
        <v>223</v>
      </c>
      <c r="C122" s="10" t="s">
        <v>224</v>
      </c>
      <c r="D122" s="10"/>
      <c r="E122" s="10"/>
      <c r="F122" s="10"/>
      <c r="G122" s="10"/>
      <c r="H122" s="11"/>
      <c r="I122" s="11"/>
      <c r="J122" s="10"/>
      <c r="K122" s="16" t="str">
        <f>HYPERLINK("file:///C:/Users/kapil/OneDrive/Desktop/CPPandScripting/CPP_Data/Striver_DSA_Handwritten_Explanations.md#problem-121-kth-missing-positive-number","Notes P121")</f>
        <v>Notes P121</v>
      </c>
    </row>
    <row r="123" spans="1:11" ht="34.049999999999997" customHeight="1" x14ac:dyDescent="0.3">
      <c r="A123" s="12">
        <v>122</v>
      </c>
      <c r="B123" s="5" t="s">
        <v>225</v>
      </c>
      <c r="C123" s="5" t="s">
        <v>226</v>
      </c>
      <c r="D123" s="5" t="s">
        <v>926</v>
      </c>
      <c r="E123" s="5"/>
      <c r="F123" s="5"/>
      <c r="G123" s="5"/>
      <c r="H123" s="13"/>
      <c r="I123" s="13"/>
      <c r="J123" s="5"/>
      <c r="K123" s="17" t="str">
        <f>HYPERLINK("file:///C:/Users/kapil/OneDrive/Desktop/CPPandScripting/CPP_Data/Striver_DSA_Handwritten_Explanations.md#problem-122-aggressive-cows","Notes P122")</f>
        <v>Notes P122</v>
      </c>
    </row>
    <row r="124" spans="1:11" ht="34.049999999999997" customHeight="1" x14ac:dyDescent="0.3">
      <c r="A124" s="9">
        <v>123</v>
      </c>
      <c r="B124" s="10" t="s">
        <v>227</v>
      </c>
      <c r="C124" s="10" t="s">
        <v>228</v>
      </c>
      <c r="D124" s="10" t="s">
        <v>927</v>
      </c>
      <c r="E124" s="10"/>
      <c r="F124" s="10"/>
      <c r="G124" s="10"/>
      <c r="H124" s="11"/>
      <c r="I124" s="11"/>
      <c r="J124" s="10"/>
      <c r="K124" s="16" t="str">
        <f>HYPERLINK("file:///C:/Users/kapil/OneDrive/Desktop/CPPandScripting/CPP_Data/Striver_DSA_Handwritten_Explanations.md#problem-123-book-allocation-problem","Notes P123")</f>
        <v>Notes P123</v>
      </c>
    </row>
    <row r="125" spans="1:11" ht="34.049999999999997" customHeight="1" x14ac:dyDescent="0.3">
      <c r="A125" s="12">
        <v>124</v>
      </c>
      <c r="B125" s="5" t="s">
        <v>229</v>
      </c>
      <c r="C125" s="5" t="s">
        <v>230</v>
      </c>
      <c r="D125" s="5"/>
      <c r="E125" s="5"/>
      <c r="F125" s="5"/>
      <c r="G125" s="5"/>
      <c r="H125" s="13"/>
      <c r="I125" s="13"/>
      <c r="J125" s="5"/>
      <c r="K125" s="17" t="str">
        <f>HYPERLINK("file:///C:/Users/kapil/OneDrive/Desktop/CPPandScripting/CPP_Data/Striver_DSA_Handwritten_Explanations.md#problem-124-split-array-largest-sum","Notes P124")</f>
        <v>Notes P124</v>
      </c>
    </row>
    <row r="126" spans="1:11" ht="34.049999999999997" customHeight="1" x14ac:dyDescent="0.3">
      <c r="A126" s="9">
        <v>125</v>
      </c>
      <c r="B126" s="10" t="s">
        <v>231</v>
      </c>
      <c r="C126" s="10" t="s">
        <v>232</v>
      </c>
      <c r="D126" s="10" t="s">
        <v>928</v>
      </c>
      <c r="E126" s="10"/>
      <c r="F126" s="10"/>
      <c r="G126" s="10"/>
      <c r="H126" s="11"/>
      <c r="I126" s="11"/>
      <c r="J126" s="10"/>
      <c r="K126" s="16" t="str">
        <f>HYPERLINK("file:///C:/Users/kapil/OneDrive/Desktop/CPPandScripting/CPP_Data/Striver_DSA_Handwritten_Explanations.md#problem-125-painter-s-partition","Notes P125")</f>
        <v>Notes P125</v>
      </c>
    </row>
    <row r="127" spans="1:11" ht="34.049999999999997" customHeight="1" x14ac:dyDescent="0.3">
      <c r="A127" s="12">
        <v>126</v>
      </c>
      <c r="B127" s="5" t="s">
        <v>233</v>
      </c>
      <c r="C127" s="5" t="s">
        <v>234</v>
      </c>
      <c r="D127" s="5"/>
      <c r="E127" s="5"/>
      <c r="F127" s="5"/>
      <c r="G127" s="5"/>
      <c r="H127" s="13"/>
      <c r="I127" s="13"/>
      <c r="J127" s="5"/>
      <c r="K127" s="17" t="str">
        <f>HYPERLINK("file:///C:/Users/kapil/OneDrive/Desktop/CPPandScripting/CPP_Data/Striver_DSA_Handwritten_Explanations.md#problem-126-minimize-max-distance-to-gas-station","Notes P126")</f>
        <v>Notes P126</v>
      </c>
    </row>
    <row r="128" spans="1:11" ht="34.049999999999997" customHeight="1" x14ac:dyDescent="0.3">
      <c r="A128" s="9">
        <v>127</v>
      </c>
      <c r="B128" s="10" t="s">
        <v>235</v>
      </c>
      <c r="C128" s="10" t="s">
        <v>236</v>
      </c>
      <c r="D128" s="10"/>
      <c r="E128" s="10"/>
      <c r="F128" s="10"/>
      <c r="G128" s="10"/>
      <c r="H128" s="11"/>
      <c r="I128" s="11"/>
      <c r="J128" s="10"/>
      <c r="K128" s="16" t="str">
        <f>HYPERLINK("file:///C:/Users/kapil/OneDrive/Desktop/CPPandScripting/CPP_Data/Striver_DSA_Handwritten_Explanations.md#problem-127-median-of-2-sorted-arrays","Notes P127")</f>
        <v>Notes P127</v>
      </c>
    </row>
    <row r="129" spans="1:11" ht="34.049999999999997" customHeight="1" x14ac:dyDescent="0.3">
      <c r="A129" s="12">
        <v>128</v>
      </c>
      <c r="B129" s="5" t="s">
        <v>237</v>
      </c>
      <c r="C129" s="5" t="s">
        <v>238</v>
      </c>
      <c r="D129" s="5"/>
      <c r="E129" s="5"/>
      <c r="F129" s="5"/>
      <c r="G129" s="5"/>
      <c r="H129" s="13"/>
      <c r="I129" s="13"/>
      <c r="J129" s="5"/>
      <c r="K129" s="17" t="str">
        <f>HYPERLINK("file:///C:/Users/kapil/OneDrive/Desktop/CPPandScripting/CPP_Data/Striver_DSA_Handwritten_Explanations.md#problem-128-kth-element-of-2-sorted-arrays","Notes P128")</f>
        <v>Notes P128</v>
      </c>
    </row>
    <row r="130" spans="1:11" ht="34.049999999999997" customHeight="1" x14ac:dyDescent="0.3">
      <c r="A130" s="9">
        <v>129</v>
      </c>
      <c r="B130" s="10" t="s">
        <v>239</v>
      </c>
      <c r="C130" s="10" t="s">
        <v>240</v>
      </c>
      <c r="D130" s="10"/>
      <c r="E130" s="10"/>
      <c r="F130" s="10"/>
      <c r="G130" s="10"/>
      <c r="H130" s="11"/>
      <c r="I130" s="11"/>
      <c r="J130" s="10"/>
      <c r="K130" s="16" t="str">
        <f>HYPERLINK("file:///C:/Users/kapil/OneDrive/Desktop/CPPandScripting/CPP_Data/Striver_DSA_Handwritten_Explanations.md#problem-129-find-row-with-maximum-1-s","Notes P129")</f>
        <v>Notes P129</v>
      </c>
    </row>
    <row r="131" spans="1:11" ht="34.049999999999997" customHeight="1" x14ac:dyDescent="0.3">
      <c r="A131" s="12">
        <v>130</v>
      </c>
      <c r="B131" s="5" t="s">
        <v>241</v>
      </c>
      <c r="C131" s="5" t="s">
        <v>242</v>
      </c>
      <c r="D131" s="5" t="s">
        <v>929</v>
      </c>
      <c r="E131" s="5"/>
      <c r="F131" s="5"/>
      <c r="G131" s="5"/>
      <c r="H131" s="13"/>
      <c r="I131" s="13"/>
      <c r="J131" s="5"/>
      <c r="K131" s="17" t="str">
        <f>HYPERLINK("file:///C:/Users/kapil/OneDrive/Desktop/CPPandScripting/CPP_Data/Striver_DSA_Handwritten_Explanations.md#problem-130-search-in-a-2d-matrix","Notes P130")</f>
        <v>Notes P130</v>
      </c>
    </row>
    <row r="132" spans="1:11" ht="34.049999999999997" customHeight="1" x14ac:dyDescent="0.3">
      <c r="A132" s="9">
        <v>131</v>
      </c>
      <c r="B132" s="10" t="s">
        <v>243</v>
      </c>
      <c r="C132" s="10" t="s">
        <v>244</v>
      </c>
      <c r="D132" s="10" t="s">
        <v>929</v>
      </c>
      <c r="E132" s="10"/>
      <c r="F132" s="10"/>
      <c r="G132" s="10"/>
      <c r="H132" s="11"/>
      <c r="I132" s="11"/>
      <c r="J132" s="10"/>
      <c r="K132" s="16" t="str">
        <f>HYPERLINK("file:///C:/Users/kapil/OneDrive/Desktop/CPPandScripting/CPP_Data/Striver_DSA_Handwritten_Explanations.md#problem-131-search-in-2d-matrix-ii","Notes P131")</f>
        <v>Notes P131</v>
      </c>
    </row>
    <row r="133" spans="1:11" ht="34.049999999999997" customHeight="1" x14ac:dyDescent="0.3">
      <c r="A133" s="12">
        <v>132</v>
      </c>
      <c r="B133" s="5" t="s">
        <v>245</v>
      </c>
      <c r="C133" s="5" t="s">
        <v>246</v>
      </c>
      <c r="D133" s="5"/>
      <c r="E133" s="5"/>
      <c r="F133" s="5"/>
      <c r="G133" s="5"/>
      <c r="H133" s="13"/>
      <c r="I133" s="13"/>
      <c r="J133" s="5"/>
      <c r="K133" s="17" t="str">
        <f>HYPERLINK("file:///C:/Users/kapil/OneDrive/Desktop/CPPandScripting/CPP_Data/Striver_DSA_Handwritten_Explanations.md#problem-132-find-peak-element-ii","Notes P132")</f>
        <v>Notes P132</v>
      </c>
    </row>
    <row r="134" spans="1:11" ht="34.049999999999997" customHeight="1" x14ac:dyDescent="0.3">
      <c r="A134" s="9">
        <v>133</v>
      </c>
      <c r="B134" s="10" t="s">
        <v>247</v>
      </c>
      <c r="C134" s="10" t="s">
        <v>248</v>
      </c>
      <c r="D134" s="10"/>
      <c r="E134" s="10"/>
      <c r="F134" s="10"/>
      <c r="G134" s="10"/>
      <c r="H134" s="11"/>
      <c r="I134" s="11"/>
      <c r="J134" s="10"/>
      <c r="K134" s="16" t="str">
        <f>HYPERLINK("file:///C:/Users/kapil/OneDrive/Desktop/CPPandScripting/CPP_Data/Striver_DSA_Handwritten_Explanations.md#problem-133-matrix-median","Notes P133")</f>
        <v>Notes P133</v>
      </c>
    </row>
    <row r="135" spans="1:11" ht="34.049999999999997" customHeight="1" x14ac:dyDescent="0.3">
      <c r="A135" s="12">
        <v>134</v>
      </c>
      <c r="B135" s="5" t="s">
        <v>249</v>
      </c>
      <c r="C135" s="5" t="s">
        <v>250</v>
      </c>
      <c r="D135" s="5"/>
      <c r="E135" s="5"/>
      <c r="F135" s="5"/>
      <c r="G135" s="5"/>
      <c r="H135" s="13"/>
      <c r="I135" s="13"/>
      <c r="J135" s="5"/>
      <c r="K135" s="17" t="str">
        <f>HYPERLINK("file:///C:/Users/kapil/OneDrive/Desktop/CPPandScripting/CPP_Data/Striver_DSA_Handwritten_Explanations.md#problem-134-remove-outermost-parentheses","Notes P134")</f>
        <v>Notes P134</v>
      </c>
    </row>
    <row r="136" spans="1:11" ht="34.049999999999997" customHeight="1" x14ac:dyDescent="0.3">
      <c r="A136" s="9">
        <v>135</v>
      </c>
      <c r="B136" s="10" t="s">
        <v>251</v>
      </c>
      <c r="C136" s="10" t="s">
        <v>252</v>
      </c>
      <c r="D136" s="10" t="s">
        <v>930</v>
      </c>
      <c r="E136" s="10"/>
      <c r="F136" s="10"/>
      <c r="G136" s="10"/>
      <c r="H136" s="11"/>
      <c r="I136" s="11"/>
      <c r="J136" s="10"/>
      <c r="K136" s="16" t="str">
        <f>HYPERLINK("file:///C:/Users/kapil/OneDrive/Desktop/CPPandScripting/CPP_Data/Striver_DSA_Handwritten_Explanations.md#problem-135-reverse-words-in-a-given-string-palindrome-check","Notes P135")</f>
        <v>Notes P135</v>
      </c>
    </row>
    <row r="137" spans="1:11" ht="34.049999999999997" customHeight="1" x14ac:dyDescent="0.3">
      <c r="A137" s="12">
        <v>136</v>
      </c>
      <c r="B137" s="5" t="s">
        <v>253</v>
      </c>
      <c r="C137" s="5" t="s">
        <v>254</v>
      </c>
      <c r="D137" s="5"/>
      <c r="E137" s="5"/>
      <c r="F137" s="5"/>
      <c r="G137" s="5"/>
      <c r="H137" s="13"/>
      <c r="I137" s="13"/>
      <c r="J137" s="5"/>
      <c r="K137" s="17" t="str">
        <f>HYPERLINK("file:///C:/Users/kapil/OneDrive/Desktop/CPPandScripting/CPP_Data/Striver_DSA_Handwritten_Explanations.md#problem-136-largest-odd-number-in-a-string","Notes P136")</f>
        <v>Notes P136</v>
      </c>
    </row>
    <row r="138" spans="1:11" ht="34.049999999999997" customHeight="1" x14ac:dyDescent="0.3">
      <c r="A138" s="9">
        <v>137</v>
      </c>
      <c r="B138" s="10" t="s">
        <v>255</v>
      </c>
      <c r="C138" s="10" t="s">
        <v>256</v>
      </c>
      <c r="D138" s="10"/>
      <c r="E138" s="10"/>
      <c r="F138" s="10"/>
      <c r="G138" s="10"/>
      <c r="H138" s="11"/>
      <c r="I138" s="11"/>
      <c r="J138" s="10"/>
      <c r="K138" s="16" t="str">
        <f>HYPERLINK("file:///C:/Users/kapil/OneDrive/Desktop/CPPandScripting/CPP_Data/Striver_DSA_Handwritten_Explanations.md#problem-137-longest-common-prefix","Notes P137")</f>
        <v>Notes P137</v>
      </c>
    </row>
    <row r="139" spans="1:11" ht="34.049999999999997" customHeight="1" x14ac:dyDescent="0.3">
      <c r="A139" s="12">
        <v>138</v>
      </c>
      <c r="B139" s="5" t="s">
        <v>257</v>
      </c>
      <c r="C139" s="5" t="s">
        <v>258</v>
      </c>
      <c r="D139" s="5"/>
      <c r="E139" s="5"/>
      <c r="F139" s="5"/>
      <c r="G139" s="5"/>
      <c r="H139" s="13"/>
      <c r="I139" s="13"/>
      <c r="J139" s="5"/>
      <c r="K139" s="17" t="str">
        <f>HYPERLINK("file:///C:/Users/kapil/OneDrive/Desktop/CPPandScripting/CPP_Data/Striver_DSA_Handwritten_Explanations.md#problem-138-isomorphic-string","Notes P138")</f>
        <v>Notes P138</v>
      </c>
    </row>
    <row r="140" spans="1:11" ht="34.049999999999997" customHeight="1" x14ac:dyDescent="0.3">
      <c r="A140" s="9">
        <v>139</v>
      </c>
      <c r="B140" s="10" t="s">
        <v>259</v>
      </c>
      <c r="C140" s="10" t="s">
        <v>260</v>
      </c>
      <c r="D140" s="10"/>
      <c r="E140" s="10"/>
      <c r="F140" s="10"/>
      <c r="G140" s="10"/>
      <c r="H140" s="11"/>
      <c r="I140" s="11"/>
      <c r="J140" s="10"/>
      <c r="K140" s="16" t="str">
        <f>HYPERLINK("file:///C:/Users/kapil/OneDrive/Desktop/CPPandScripting/CPP_Data/Striver_DSA_Handwritten_Explanations.md#problem-139-rotate-string","Notes P139")</f>
        <v>Notes P139</v>
      </c>
    </row>
    <row r="141" spans="1:11" ht="34.049999999999997" customHeight="1" x14ac:dyDescent="0.3">
      <c r="A141" s="12">
        <v>140</v>
      </c>
      <c r="B141" s="5" t="s">
        <v>261</v>
      </c>
      <c r="C141" s="5" t="s">
        <v>262</v>
      </c>
      <c r="D141" s="5"/>
      <c r="E141" s="5"/>
      <c r="F141" s="5"/>
      <c r="G141" s="5"/>
      <c r="H141" s="13"/>
      <c r="I141" s="13"/>
      <c r="J141" s="5"/>
      <c r="K141" s="17" t="str">
        <f>HYPERLINK("file:///C:/Users/kapil/OneDrive/Desktop/CPPandScripting/CPP_Data/Striver_DSA_Handwritten_Explanations.md#problem-140-check-if-two-strings-are-anagram-of-each-other","Notes P140")</f>
        <v>Notes P140</v>
      </c>
    </row>
    <row r="142" spans="1:11" ht="34.049999999999997" customHeight="1" x14ac:dyDescent="0.3">
      <c r="A142" s="9">
        <v>141</v>
      </c>
      <c r="B142" s="10" t="s">
        <v>263</v>
      </c>
      <c r="C142" s="10" t="s">
        <v>264</v>
      </c>
      <c r="D142" s="10"/>
      <c r="E142" s="10"/>
      <c r="F142" s="10"/>
      <c r="G142" s="10"/>
      <c r="H142" s="11"/>
      <c r="I142" s="11"/>
      <c r="J142" s="10"/>
      <c r="K142" s="16" t="str">
        <f>HYPERLINK("file:///C:/Users/kapil/OneDrive/Desktop/CPPandScripting/CPP_Data/Striver_DSA_Handwritten_Explanations.md#problem-141-sort-characters-by-frequency","Notes P141")</f>
        <v>Notes P141</v>
      </c>
    </row>
    <row r="143" spans="1:11" ht="34.049999999999997" customHeight="1" x14ac:dyDescent="0.3">
      <c r="A143" s="12">
        <v>142</v>
      </c>
      <c r="B143" s="5" t="s">
        <v>265</v>
      </c>
      <c r="C143" s="5" t="s">
        <v>266</v>
      </c>
      <c r="D143" s="5"/>
      <c r="E143" s="5"/>
      <c r="F143" s="5"/>
      <c r="G143" s="5"/>
      <c r="H143" s="13"/>
      <c r="I143" s="13"/>
      <c r="J143" s="5"/>
      <c r="K143" s="17" t="str">
        <f>HYPERLINK("file:///C:/Users/kapil/OneDrive/Desktop/CPPandScripting/CPP_Data/Striver_DSA_Handwritten_Explanations.md#problem-142-maximum-nesting-depth-of-the-parentheses","Notes P142")</f>
        <v>Notes P142</v>
      </c>
    </row>
    <row r="144" spans="1:11" ht="34.049999999999997" customHeight="1" x14ac:dyDescent="0.3">
      <c r="A144" s="9">
        <v>143</v>
      </c>
      <c r="B144" s="10" t="s">
        <v>267</v>
      </c>
      <c r="C144" s="10" t="s">
        <v>268</v>
      </c>
      <c r="D144" s="10"/>
      <c r="E144" s="10"/>
      <c r="F144" s="10"/>
      <c r="G144" s="10"/>
      <c r="H144" s="11"/>
      <c r="I144" s="11"/>
      <c r="J144" s="10"/>
      <c r="K144" s="16" t="str">
        <f>HYPERLINK("file:///C:/Users/kapil/OneDrive/Desktop/CPPandScripting/CPP_Data/Striver_DSA_Handwritten_Explanations.md#problem-143-roman-to-integer","Notes P143")</f>
        <v>Notes P143</v>
      </c>
    </row>
    <row r="145" spans="1:11" ht="34.049999999999997" customHeight="1" x14ac:dyDescent="0.3">
      <c r="A145" s="12">
        <v>144</v>
      </c>
      <c r="B145" s="5" t="s">
        <v>269</v>
      </c>
      <c r="C145" s="5" t="s">
        <v>270</v>
      </c>
      <c r="D145" s="5"/>
      <c r="E145" s="5"/>
      <c r="F145" s="5"/>
      <c r="G145" s="5"/>
      <c r="H145" s="13"/>
      <c r="I145" s="13"/>
      <c r="J145" s="5"/>
      <c r="K145" s="17" t="str">
        <f>HYPERLINK("file:///C:/Users/kapil/OneDrive/Desktop/CPPandScripting/CPP_Data/Striver_DSA_Handwritten_Explanations.md#problem-144-string-to-integer-atoi","Notes P144")</f>
        <v>Notes P144</v>
      </c>
    </row>
    <row r="146" spans="1:11" ht="34.049999999999997" customHeight="1" x14ac:dyDescent="0.3">
      <c r="A146" s="9">
        <v>145</v>
      </c>
      <c r="B146" s="10" t="s">
        <v>271</v>
      </c>
      <c r="C146" s="10" t="s">
        <v>272</v>
      </c>
      <c r="D146" s="10"/>
      <c r="E146" s="10"/>
      <c r="F146" s="10"/>
      <c r="G146" s="10"/>
      <c r="H146" s="11"/>
      <c r="I146" s="11"/>
      <c r="J146" s="10"/>
      <c r="K146" s="16" t="str">
        <f>HYPERLINK("file:///C:/Users/kapil/OneDrive/Desktop/CPPandScripting/CPP_Data/Striver_DSA_Handwritten_Explanations.md#problem-145-count-number-of-substrings","Notes P145")</f>
        <v>Notes P145</v>
      </c>
    </row>
    <row r="147" spans="1:11" ht="34.049999999999997" customHeight="1" x14ac:dyDescent="0.3">
      <c r="A147" s="12">
        <v>146</v>
      </c>
      <c r="B147" s="5" t="s">
        <v>273</v>
      </c>
      <c r="C147" s="5" t="s">
        <v>274</v>
      </c>
      <c r="D147" s="5"/>
      <c r="E147" s="5"/>
      <c r="F147" s="5"/>
      <c r="G147" s="5"/>
      <c r="H147" s="13"/>
      <c r="I147" s="13"/>
      <c r="J147" s="5"/>
      <c r="K147" s="17" t="str">
        <f>HYPERLINK("file:///C:/Users/kapil/OneDrive/Desktop/CPPandScripting/CPP_Data/Striver_DSA_Handwritten_Explanations.md#problem-146-longest-palindromic-substring","Notes P146")</f>
        <v>Notes P146</v>
      </c>
    </row>
    <row r="148" spans="1:11" ht="34.049999999999997" customHeight="1" x14ac:dyDescent="0.3">
      <c r="A148" s="9">
        <v>147</v>
      </c>
      <c r="B148" s="10" t="s">
        <v>275</v>
      </c>
      <c r="C148" s="10" t="s">
        <v>276</v>
      </c>
      <c r="D148" s="10"/>
      <c r="E148" s="10"/>
      <c r="F148" s="10"/>
      <c r="G148" s="10"/>
      <c r="H148" s="11"/>
      <c r="I148" s="11"/>
      <c r="J148" s="10"/>
      <c r="K148" s="16" t="str">
        <f>HYPERLINK("file:///C:/Users/kapil/OneDrive/Desktop/CPPandScripting/CPP_Data/Striver_DSA_Handwritten_Explanations.md#problem-147-sum-of-beauty-of-all-substrings","Notes P147")</f>
        <v>Notes P147</v>
      </c>
    </row>
    <row r="149" spans="1:11" ht="34.049999999999997" customHeight="1" x14ac:dyDescent="0.3">
      <c r="A149" s="12">
        <v>148</v>
      </c>
      <c r="B149" s="5" t="s">
        <v>277</v>
      </c>
      <c r="C149" s="5" t="s">
        <v>252</v>
      </c>
      <c r="D149" s="5" t="s">
        <v>930</v>
      </c>
      <c r="E149" s="5"/>
      <c r="F149" s="5"/>
      <c r="G149" s="5"/>
      <c r="H149" s="13"/>
      <c r="I149" s="13"/>
      <c r="J149" s="5"/>
      <c r="K149" s="17" t="str">
        <f>HYPERLINK("file:///C:/Users/kapil/OneDrive/Desktop/CPPandScripting/CPP_Data/Striver_DSA_Handwritten_Explanations.md#problem-148-reverse-every-word-in-a-string","Notes P148")</f>
        <v>Notes P148</v>
      </c>
    </row>
    <row r="150" spans="1:11" ht="34.049999999999997" customHeight="1" x14ac:dyDescent="0.3">
      <c r="A150" s="9">
        <v>149</v>
      </c>
      <c r="B150" s="10" t="s">
        <v>278</v>
      </c>
      <c r="C150" s="10" t="s">
        <v>279</v>
      </c>
      <c r="D150" s="10" t="s">
        <v>931</v>
      </c>
      <c r="E150" s="10"/>
      <c r="F150" s="10"/>
      <c r="G150" s="10"/>
      <c r="H150" s="11"/>
      <c r="I150" s="11"/>
      <c r="J150" s="10"/>
      <c r="K150" s="16" t="str">
        <f>HYPERLINK("file:///C:/Users/kapil/OneDrive/Desktop/CPPandScripting/CPP_Data/Striver_DSA_Handwritten_Explanations.md#problem-149-introduction-to-singly-linkedlist","Notes P149")</f>
        <v>Notes P149</v>
      </c>
    </row>
    <row r="151" spans="1:11" ht="34.049999999999997" customHeight="1" x14ac:dyDescent="0.3">
      <c r="A151" s="12">
        <v>150</v>
      </c>
      <c r="B151" s="5" t="s">
        <v>280</v>
      </c>
      <c r="C151" s="5" t="s">
        <v>281</v>
      </c>
      <c r="D151" s="5"/>
      <c r="E151" s="5"/>
      <c r="F151" s="5"/>
      <c r="G151" s="5"/>
      <c r="H151" s="13"/>
      <c r="I151" s="13"/>
      <c r="J151" s="5"/>
      <c r="K151" s="17" t="str">
        <f>HYPERLINK("file:///C:/Users/kapil/OneDrive/Desktop/CPPandScripting/CPP_Data/Striver_DSA_Handwritten_Explanations.md#problem-150-insertion-at-the-head-of-linked-list","Notes P150")</f>
        <v>Notes P150</v>
      </c>
    </row>
    <row r="152" spans="1:11" ht="34.049999999999997" customHeight="1" x14ac:dyDescent="0.3">
      <c r="A152" s="9">
        <v>151</v>
      </c>
      <c r="B152" s="10" t="s">
        <v>282</v>
      </c>
      <c r="C152" s="10" t="s">
        <v>283</v>
      </c>
      <c r="D152" s="10"/>
      <c r="E152" s="10"/>
      <c r="F152" s="10"/>
      <c r="G152" s="10"/>
      <c r="H152" s="11"/>
      <c r="I152" s="11"/>
      <c r="J152" s="10"/>
      <c r="K152" s="16" t="str">
        <f>HYPERLINK("file:///C:/Users/kapil/OneDrive/Desktop/CPPandScripting/CPP_Data/Striver_DSA_Handwritten_Explanations.md#problem-151-deletion-of-the-head-of-ll","Notes P151")</f>
        <v>Notes P151</v>
      </c>
    </row>
    <row r="153" spans="1:11" ht="34.049999999999997" customHeight="1" x14ac:dyDescent="0.3">
      <c r="A153" s="12">
        <v>152</v>
      </c>
      <c r="B153" s="5" t="s">
        <v>284</v>
      </c>
      <c r="C153" s="5" t="s">
        <v>285</v>
      </c>
      <c r="D153" s="5"/>
      <c r="E153" s="5"/>
      <c r="F153" s="5"/>
      <c r="G153" s="5"/>
      <c r="H153" s="13"/>
      <c r="I153" s="13"/>
      <c r="J153" s="5"/>
      <c r="K153" s="17" t="str">
        <f>HYPERLINK("file:///C:/Users/kapil/OneDrive/Desktop/CPPandScripting/CPP_Data/Striver_DSA_Handwritten_Explanations.md#problem-152-find-the-length-of-the-linked-list","Notes P152")</f>
        <v>Notes P152</v>
      </c>
    </row>
    <row r="154" spans="1:11" ht="34.049999999999997" customHeight="1" x14ac:dyDescent="0.3">
      <c r="A154" s="9">
        <v>153</v>
      </c>
      <c r="B154" s="10" t="s">
        <v>286</v>
      </c>
      <c r="C154" s="10" t="s">
        <v>287</v>
      </c>
      <c r="D154" s="10"/>
      <c r="E154" s="10"/>
      <c r="F154" s="10"/>
      <c r="G154" s="10"/>
      <c r="H154" s="11"/>
      <c r="I154" s="11"/>
      <c r="J154" s="10"/>
      <c r="K154" s="16" t="str">
        <f>HYPERLINK("file:///C:/Users/kapil/OneDrive/Desktop/CPPandScripting/CPP_Data/Striver_DSA_Handwritten_Explanations.md#problem-153-search-in-linked-list","Notes P153")</f>
        <v>Notes P153</v>
      </c>
    </row>
    <row r="155" spans="1:11" ht="34.049999999999997" customHeight="1" x14ac:dyDescent="0.3">
      <c r="A155" s="12">
        <v>154</v>
      </c>
      <c r="B155" s="5" t="s">
        <v>288</v>
      </c>
      <c r="C155" s="5" t="s">
        <v>289</v>
      </c>
      <c r="D155" s="5" t="s">
        <v>932</v>
      </c>
      <c r="E155" s="5"/>
      <c r="F155" s="5"/>
      <c r="G155" s="5"/>
      <c r="H155" s="13"/>
      <c r="I155" s="13"/>
      <c r="J155" s="5"/>
      <c r="K155" s="17" t="str">
        <f>HYPERLINK("file:///C:/Users/kapil/OneDrive/Desktop/CPPandScripting/CPP_Data/Striver_DSA_Handwritten_Explanations.md#problem-154-introduction-to-doubly-ll","Notes P154")</f>
        <v>Notes P154</v>
      </c>
    </row>
    <row r="156" spans="1:11" ht="34.049999999999997" customHeight="1" x14ac:dyDescent="0.3">
      <c r="A156" s="9">
        <v>155</v>
      </c>
      <c r="B156" s="10" t="s">
        <v>290</v>
      </c>
      <c r="C156" s="10" t="s">
        <v>291</v>
      </c>
      <c r="D156" s="10"/>
      <c r="E156" s="10"/>
      <c r="F156" s="10"/>
      <c r="G156" s="10"/>
      <c r="H156" s="11"/>
      <c r="I156" s="11"/>
      <c r="J156" s="10"/>
      <c r="K156" s="16" t="str">
        <f>HYPERLINK("file:///C:/Users/kapil/OneDrive/Desktop/CPPandScripting/CPP_Data/Striver_DSA_Handwritten_Explanations.md#problem-155-insert-node-before-head-in-doubly-linked-list","Notes P155")</f>
        <v>Notes P155</v>
      </c>
    </row>
    <row r="157" spans="1:11" ht="34.049999999999997" customHeight="1" x14ac:dyDescent="0.3">
      <c r="A157" s="12">
        <v>156</v>
      </c>
      <c r="B157" s="5" t="s">
        <v>292</v>
      </c>
      <c r="C157" s="5" t="s">
        <v>293</v>
      </c>
      <c r="D157" s="5"/>
      <c r="E157" s="5"/>
      <c r="F157" s="5"/>
      <c r="G157" s="5"/>
      <c r="H157" s="13"/>
      <c r="I157" s="13"/>
      <c r="J157" s="5"/>
      <c r="K157" s="17" t="str">
        <f>HYPERLINK("file:///C:/Users/kapil/OneDrive/Desktop/CPPandScripting/CPP_Data/Striver_DSA_Handwritten_Explanations.md#problem-156-delete-head-of-doubly-linked-list","Notes P156")</f>
        <v>Notes P156</v>
      </c>
    </row>
    <row r="158" spans="1:11" ht="34.049999999999997" customHeight="1" x14ac:dyDescent="0.3">
      <c r="A158" s="9">
        <v>157</v>
      </c>
      <c r="B158" s="10" t="s">
        <v>294</v>
      </c>
      <c r="C158" s="10" t="s">
        <v>295</v>
      </c>
      <c r="D158" s="10"/>
      <c r="E158" s="10"/>
      <c r="F158" s="10"/>
      <c r="G158" s="10"/>
      <c r="H158" s="11"/>
      <c r="I158" s="11"/>
      <c r="J158" s="10"/>
      <c r="K158" s="16" t="str">
        <f>HYPERLINK("file:///C:/Users/kapil/OneDrive/Desktop/CPPandScripting/CPP_Data/Striver_DSA_Handwritten_Explanations.md#problem-157-reverse-a-doubly-linked-list","Notes P157")</f>
        <v>Notes P157</v>
      </c>
    </row>
    <row r="159" spans="1:11" ht="34.049999999999997" customHeight="1" x14ac:dyDescent="0.3">
      <c r="A159" s="12">
        <v>158</v>
      </c>
      <c r="B159" s="5" t="s">
        <v>296</v>
      </c>
      <c r="C159" s="5" t="s">
        <v>297</v>
      </c>
      <c r="D159" s="5" t="s">
        <v>933</v>
      </c>
      <c r="E159" s="5"/>
      <c r="F159" s="5"/>
      <c r="G159" s="5"/>
      <c r="H159" s="13"/>
      <c r="I159" s="13"/>
      <c r="J159" s="5"/>
      <c r="K159" s="17" t="str">
        <f>HYPERLINK("file:///C:/Users/kapil/OneDrive/Desktop/CPPandScripting/CPP_Data/Striver_DSA_Handwritten_Explanations.md#problem-158-middle-of-a-linkedlist-tortoisehare-method","Notes P158")</f>
        <v>Notes P158</v>
      </c>
    </row>
    <row r="160" spans="1:11" ht="34.049999999999997" customHeight="1" x14ac:dyDescent="0.3">
      <c r="A160" s="9">
        <v>159</v>
      </c>
      <c r="B160" s="10" t="s">
        <v>298</v>
      </c>
      <c r="C160" s="10" t="s">
        <v>299</v>
      </c>
      <c r="D160" s="10" t="s">
        <v>934</v>
      </c>
      <c r="E160" s="10"/>
      <c r="F160" s="10"/>
      <c r="G160" s="10"/>
      <c r="H160" s="11"/>
      <c r="I160" s="11"/>
      <c r="J160" s="10"/>
      <c r="K160" s="16" t="str">
        <f>HYPERLINK("file:///C:/Users/kapil/OneDrive/Desktop/CPPandScripting/CPP_Data/Striver_DSA_Handwritten_Explanations.md#problem-159-reverse-a-linkedlist-iterative","Notes P159")</f>
        <v>Notes P159</v>
      </c>
    </row>
    <row r="161" spans="1:11" ht="34.049999999999997" customHeight="1" x14ac:dyDescent="0.3">
      <c r="A161" s="12">
        <v>160</v>
      </c>
      <c r="B161" s="5" t="s">
        <v>300</v>
      </c>
      <c r="C161" s="5" t="s">
        <v>299</v>
      </c>
      <c r="D161" s="5" t="s">
        <v>934</v>
      </c>
      <c r="E161" s="5"/>
      <c r="F161" s="5"/>
      <c r="G161" s="5"/>
      <c r="H161" s="13"/>
      <c r="I161" s="13"/>
      <c r="J161" s="5"/>
      <c r="K161" s="17" t="str">
        <f>HYPERLINK("file:///C:/Users/kapil/OneDrive/Desktop/CPPandScripting/CPP_Data/Striver_DSA_Handwritten_Explanations.md#problem-160-reverse-a-ll","Notes P160")</f>
        <v>Notes P160</v>
      </c>
    </row>
    <row r="162" spans="1:11" ht="34.049999999999997" customHeight="1" x14ac:dyDescent="0.3">
      <c r="A162" s="9">
        <v>161</v>
      </c>
      <c r="B162" s="10" t="s">
        <v>301</v>
      </c>
      <c r="C162" s="10" t="s">
        <v>302</v>
      </c>
      <c r="D162" s="10" t="s">
        <v>935</v>
      </c>
      <c r="E162" s="10"/>
      <c r="F162" s="10"/>
      <c r="G162" s="10"/>
      <c r="H162" s="11"/>
      <c r="I162" s="11"/>
      <c r="J162" s="10"/>
      <c r="K162" s="16" t="str">
        <f>HYPERLINK("file:///C:/Users/kapil/OneDrive/Desktop/CPPandScripting/CPP_Data/Striver_DSA_Handwritten_Explanations.md#problem-161-detect-a-loop-in-ll","Notes P161")</f>
        <v>Notes P161</v>
      </c>
    </row>
    <row r="163" spans="1:11" ht="34.049999999999997" customHeight="1" x14ac:dyDescent="0.3">
      <c r="A163" s="12">
        <v>162</v>
      </c>
      <c r="B163" s="5" t="s">
        <v>303</v>
      </c>
      <c r="C163" s="5" t="s">
        <v>304</v>
      </c>
      <c r="D163" s="5" t="s">
        <v>935</v>
      </c>
      <c r="E163" s="5"/>
      <c r="F163" s="5"/>
      <c r="G163" s="5"/>
      <c r="H163" s="13"/>
      <c r="I163" s="13"/>
      <c r="J163" s="5"/>
      <c r="K163" s="17" t="str">
        <f>HYPERLINK("file:///C:/Users/kapil/OneDrive/Desktop/CPPandScripting/CPP_Data/Striver_DSA_Handwritten_Explanations.md#problem-162-find-the-starting-point-in-ll","Notes P162")</f>
        <v>Notes P162</v>
      </c>
    </row>
    <row r="164" spans="1:11" ht="34.049999999999997" customHeight="1" x14ac:dyDescent="0.3">
      <c r="A164" s="9">
        <v>163</v>
      </c>
      <c r="B164" s="10" t="s">
        <v>305</v>
      </c>
      <c r="C164" s="10" t="s">
        <v>306</v>
      </c>
      <c r="D164" s="10"/>
      <c r="E164" s="10"/>
      <c r="F164" s="10"/>
      <c r="G164" s="10"/>
      <c r="H164" s="11"/>
      <c r="I164" s="11"/>
      <c r="J164" s="10"/>
      <c r="K164" s="16" t="str">
        <f>HYPERLINK("file:///C:/Users/kapil/OneDrive/Desktop/CPPandScripting/CPP_Data/Striver_DSA_Handwritten_Explanations.md#problem-163-length-of-loop-in-ll","Notes P163")</f>
        <v>Notes P163</v>
      </c>
    </row>
    <row r="165" spans="1:11" ht="34.049999999999997" customHeight="1" x14ac:dyDescent="0.3">
      <c r="A165" s="12">
        <v>164</v>
      </c>
      <c r="B165" s="5" t="s">
        <v>307</v>
      </c>
      <c r="C165" s="5" t="s">
        <v>308</v>
      </c>
      <c r="D165" s="5"/>
      <c r="E165" s="5"/>
      <c r="F165" s="5"/>
      <c r="G165" s="5"/>
      <c r="H165" s="13"/>
      <c r="I165" s="13"/>
      <c r="J165" s="5"/>
      <c r="K165" s="17" t="str">
        <f>HYPERLINK("file:///C:/Users/kapil/OneDrive/Desktop/CPPandScripting/CPP_Data/Striver_DSA_Handwritten_Explanations.md#problem-164-check-if-ll-is-palindrome-or-not","Notes P164")</f>
        <v>Notes P164</v>
      </c>
    </row>
    <row r="166" spans="1:11" ht="34.049999999999997" customHeight="1" x14ac:dyDescent="0.3">
      <c r="A166" s="9">
        <v>165</v>
      </c>
      <c r="B166" s="10" t="s">
        <v>309</v>
      </c>
      <c r="C166" s="10" t="s">
        <v>310</v>
      </c>
      <c r="D166" s="10"/>
      <c r="E166" s="10"/>
      <c r="F166" s="10"/>
      <c r="G166" s="10"/>
      <c r="H166" s="11"/>
      <c r="I166" s="11"/>
      <c r="J166" s="10"/>
      <c r="K166" s="16" t="str">
        <f>HYPERLINK("file:///C:/Users/kapil/OneDrive/Desktop/CPPandScripting/CPP_Data/Striver_DSA_Handwritten_Explanations.md#problem-165-segregate-odd-and-even-nodes-in-linked-list","Notes P165")</f>
        <v>Notes P165</v>
      </c>
    </row>
    <row r="167" spans="1:11" ht="34.049999999999997" customHeight="1" x14ac:dyDescent="0.3">
      <c r="A167" s="12">
        <v>166</v>
      </c>
      <c r="B167" s="5" t="s">
        <v>311</v>
      </c>
      <c r="C167" s="5" t="s">
        <v>312</v>
      </c>
      <c r="D167" s="5"/>
      <c r="E167" s="5"/>
      <c r="F167" s="5"/>
      <c r="G167" s="5"/>
      <c r="H167" s="13"/>
      <c r="I167" s="13"/>
      <c r="J167" s="5"/>
      <c r="K167" s="17" t="str">
        <f>HYPERLINK("file:///C:/Users/kapil/OneDrive/Desktop/CPPandScripting/CPP_Data/Striver_DSA_Handwritten_Explanations.md#problem-166-remove-nth-node-from-the-back-of-the-ll","Notes P166")</f>
        <v>Notes P166</v>
      </c>
    </row>
    <row r="168" spans="1:11" ht="34.049999999999997" customHeight="1" x14ac:dyDescent="0.3">
      <c r="A168" s="9">
        <v>167</v>
      </c>
      <c r="B168" s="10" t="s">
        <v>313</v>
      </c>
      <c r="C168" s="10" t="s">
        <v>314</v>
      </c>
      <c r="D168" s="10"/>
      <c r="E168" s="10"/>
      <c r="F168" s="10"/>
      <c r="G168" s="10"/>
      <c r="H168" s="11"/>
      <c r="I168" s="11"/>
      <c r="J168" s="10"/>
      <c r="K168" s="16" t="str">
        <f>HYPERLINK("file:///C:/Users/kapil/OneDrive/Desktop/CPPandScripting/CPP_Data/Striver_DSA_Handwritten_Explanations.md#problem-167-delete-the-middle-node-in-ll","Notes P167")</f>
        <v>Notes P167</v>
      </c>
    </row>
    <row r="169" spans="1:11" ht="34.049999999999997" customHeight="1" x14ac:dyDescent="0.3">
      <c r="A169" s="12">
        <v>168</v>
      </c>
      <c r="B169" s="5" t="s">
        <v>315</v>
      </c>
      <c r="C169" s="5" t="s">
        <v>316</v>
      </c>
      <c r="D169" s="5"/>
      <c r="E169" s="5"/>
      <c r="F169" s="5"/>
      <c r="G169" s="5"/>
      <c r="H169" s="13"/>
      <c r="I169" s="13"/>
      <c r="J169" s="5"/>
      <c r="K169" s="17" t="str">
        <f>HYPERLINK("file:///C:/Users/kapil/OneDrive/Desktop/CPPandScripting/CPP_Data/Striver_DSA_Handwritten_Explanations.md#problem-168-sort-ll","Notes P168")</f>
        <v>Notes P168</v>
      </c>
    </row>
    <row r="170" spans="1:11" ht="34.049999999999997" customHeight="1" x14ac:dyDescent="0.3">
      <c r="A170" s="9">
        <v>169</v>
      </c>
      <c r="B170" s="10" t="s">
        <v>317</v>
      </c>
      <c r="C170" s="10" t="s">
        <v>318</v>
      </c>
      <c r="D170" s="10"/>
      <c r="E170" s="10"/>
      <c r="F170" s="10"/>
      <c r="G170" s="10"/>
      <c r="H170" s="11"/>
      <c r="I170" s="11"/>
      <c r="J170" s="10"/>
      <c r="K170" s="16" t="str">
        <f>HYPERLINK("file:///C:/Users/kapil/OneDrive/Desktop/CPPandScripting/CPP_Data/Striver_DSA_Handwritten_Explanations.md#problem-169-sort-a-linked-list-of-0-s-1-s-and-2-s","Notes P169")</f>
        <v>Notes P169</v>
      </c>
    </row>
    <row r="171" spans="1:11" ht="34.049999999999997" customHeight="1" x14ac:dyDescent="0.3">
      <c r="A171" s="12">
        <v>170</v>
      </c>
      <c r="B171" s="5" t="s">
        <v>319</v>
      </c>
      <c r="C171" s="5" t="s">
        <v>320</v>
      </c>
      <c r="D171" s="5"/>
      <c r="E171" s="5"/>
      <c r="F171" s="5"/>
      <c r="G171" s="5"/>
      <c r="H171" s="13"/>
      <c r="I171" s="13"/>
      <c r="J171" s="5"/>
      <c r="K171" s="17" t="str">
        <f>HYPERLINK("file:///C:/Users/kapil/OneDrive/Desktop/CPPandScripting/CPP_Data/Striver_DSA_Handwritten_Explanations.md#problem-170-find-the-intersection-point-of-y-ll","Notes P170")</f>
        <v>Notes P170</v>
      </c>
    </row>
    <row r="172" spans="1:11" ht="34.049999999999997" customHeight="1" x14ac:dyDescent="0.3">
      <c r="A172" s="9">
        <v>171</v>
      </c>
      <c r="B172" s="10" t="s">
        <v>321</v>
      </c>
      <c r="C172" s="10" t="s">
        <v>322</v>
      </c>
      <c r="D172" s="10"/>
      <c r="E172" s="10"/>
      <c r="F172" s="10"/>
      <c r="G172" s="10"/>
      <c r="H172" s="11"/>
      <c r="I172" s="11"/>
      <c r="J172" s="10"/>
      <c r="K172" s="16" t="str">
        <f>HYPERLINK("file:///C:/Users/kapil/OneDrive/Desktop/CPPandScripting/CPP_Data/Striver_DSA_Handwritten_Explanations.md#problem-171-add-one-to-a-number-represented-by-ll","Notes P171")</f>
        <v>Notes P171</v>
      </c>
    </row>
    <row r="173" spans="1:11" ht="34.049999999999997" customHeight="1" x14ac:dyDescent="0.3">
      <c r="A173" s="12">
        <v>172</v>
      </c>
      <c r="B173" s="5" t="s">
        <v>323</v>
      </c>
      <c r="C173" s="5" t="s">
        <v>324</v>
      </c>
      <c r="D173" s="5"/>
      <c r="E173" s="5"/>
      <c r="F173" s="5"/>
      <c r="G173" s="5"/>
      <c r="H173" s="13"/>
      <c r="I173" s="13"/>
      <c r="J173" s="5"/>
      <c r="K173" s="17" t="str">
        <f>HYPERLINK("file:///C:/Users/kapil/OneDrive/Desktop/CPPandScripting/CPP_Data/Striver_DSA_Handwritten_Explanations.md#problem-172-add-two-numbers-in-linked-list","Notes P172")</f>
        <v>Notes P172</v>
      </c>
    </row>
    <row r="174" spans="1:11" ht="34.049999999999997" customHeight="1" x14ac:dyDescent="0.3">
      <c r="A174" s="9">
        <v>173</v>
      </c>
      <c r="B174" s="10" t="s">
        <v>325</v>
      </c>
      <c r="C174" s="10" t="s">
        <v>325</v>
      </c>
      <c r="D174" s="10"/>
      <c r="E174" s="10"/>
      <c r="F174" s="10"/>
      <c r="G174" s="10"/>
      <c r="H174" s="11"/>
      <c r="I174" s="11"/>
      <c r="J174" s="10"/>
      <c r="K174" s="16" t="str">
        <f>HYPERLINK("file:///C:/Users/kapil/OneDrive/Desktop/CPPandScripting/CPP_Data/Striver_DSA_Handwritten_Explanations.md#problem-173-delete-all-occurrences-of-a-key-in-dll","Notes P173")</f>
        <v>Notes P173</v>
      </c>
    </row>
    <row r="175" spans="1:11" ht="34.049999999999997" customHeight="1" x14ac:dyDescent="0.3">
      <c r="A175" s="12">
        <v>174</v>
      </c>
      <c r="B175" s="5" t="s">
        <v>326</v>
      </c>
      <c r="C175" s="5" t="s">
        <v>327</v>
      </c>
      <c r="D175" s="5"/>
      <c r="E175" s="5"/>
      <c r="F175" s="5"/>
      <c r="G175" s="5"/>
      <c r="H175" s="13"/>
      <c r="I175" s="13"/>
      <c r="J175" s="5"/>
      <c r="K175" s="17" t="str">
        <f>HYPERLINK("file:///C:/Users/kapil/OneDrive/Desktop/CPPandScripting/CPP_Data/Striver_DSA_Handwritten_Explanations.md#problem-174-find-pairs-with-given-sum-in-doubly-linked-list","Notes P174")</f>
        <v>Notes P174</v>
      </c>
    </row>
    <row r="176" spans="1:11" ht="34.049999999999997" customHeight="1" x14ac:dyDescent="0.3">
      <c r="A176" s="9">
        <v>175</v>
      </c>
      <c r="B176" s="10" t="s">
        <v>328</v>
      </c>
      <c r="C176" s="10" t="s">
        <v>329</v>
      </c>
      <c r="D176" s="10"/>
      <c r="E176" s="10"/>
      <c r="F176" s="10"/>
      <c r="G176" s="10"/>
      <c r="H176" s="11"/>
      <c r="I176" s="11"/>
      <c r="J176" s="10"/>
      <c r="K176" s="16" t="str">
        <f>HYPERLINK("file:///C:/Users/kapil/OneDrive/Desktop/CPPandScripting/CPP_Data/Striver_DSA_Handwritten_Explanations.md#problem-175-remove-duplicates-from-sorted-dll","Notes P175")</f>
        <v>Notes P175</v>
      </c>
    </row>
    <row r="177" spans="1:11" ht="34.049999999999997" customHeight="1" x14ac:dyDescent="0.3">
      <c r="A177" s="12">
        <v>176</v>
      </c>
      <c r="B177" s="5" t="s">
        <v>330</v>
      </c>
      <c r="C177" s="5" t="s">
        <v>331</v>
      </c>
      <c r="D177" s="5" t="s">
        <v>936</v>
      </c>
      <c r="E177" s="5"/>
      <c r="F177" s="5"/>
      <c r="G177" s="5"/>
      <c r="H177" s="13"/>
      <c r="I177" s="13"/>
      <c r="J177" s="5"/>
      <c r="K177" s="17" t="str">
        <f>HYPERLINK("file:///C:/Users/kapil/OneDrive/Desktop/CPPandScripting/CPP_Data/Striver_DSA_Handwritten_Explanations.md#problem-176-reverse-ll-in-group-of-given-size-k","Notes P176")</f>
        <v>Notes P176</v>
      </c>
    </row>
    <row r="178" spans="1:11" ht="34.049999999999997" customHeight="1" x14ac:dyDescent="0.3">
      <c r="A178" s="9">
        <v>177</v>
      </c>
      <c r="B178" s="10" t="s">
        <v>332</v>
      </c>
      <c r="C178" s="10" t="s">
        <v>333</v>
      </c>
      <c r="D178" s="10"/>
      <c r="E178" s="10"/>
      <c r="F178" s="10"/>
      <c r="G178" s="10"/>
      <c r="H178" s="11"/>
      <c r="I178" s="11"/>
      <c r="J178" s="10"/>
      <c r="K178" s="16" t="str">
        <f>HYPERLINK("file:///C:/Users/kapil/OneDrive/Desktop/CPPandScripting/CPP_Data/Striver_DSA_Handwritten_Explanations.md#problem-177-rotate-a-ll","Notes P177")</f>
        <v>Notes P177</v>
      </c>
    </row>
    <row r="179" spans="1:11" ht="34.049999999999997" customHeight="1" x14ac:dyDescent="0.3">
      <c r="A179" s="12">
        <v>178</v>
      </c>
      <c r="B179" s="5" t="s">
        <v>334</v>
      </c>
      <c r="C179" s="5" t="s">
        <v>335</v>
      </c>
      <c r="D179" s="5" t="s">
        <v>937</v>
      </c>
      <c r="E179" s="5"/>
      <c r="F179" s="5"/>
      <c r="G179" s="5"/>
      <c r="H179" s="13"/>
      <c r="I179" s="13"/>
      <c r="J179" s="5"/>
      <c r="K179" s="17" t="str">
        <f>HYPERLINK("file:///C:/Users/kapil/OneDrive/Desktop/CPPandScripting/CPP_Data/Striver_DSA_Handwritten_Explanations.md#problem-178-flattening-of-ll","Notes P178")</f>
        <v>Notes P178</v>
      </c>
    </row>
    <row r="180" spans="1:11" ht="34.049999999999997" customHeight="1" x14ac:dyDescent="0.3">
      <c r="A180" s="9">
        <v>179</v>
      </c>
      <c r="B180" s="10" t="s">
        <v>336</v>
      </c>
      <c r="C180" s="10" t="s">
        <v>337</v>
      </c>
      <c r="D180" s="10" t="s">
        <v>938</v>
      </c>
      <c r="E180" s="10"/>
      <c r="F180" s="10"/>
      <c r="G180" s="10"/>
      <c r="H180" s="11"/>
      <c r="I180" s="11"/>
      <c r="J180" s="10"/>
      <c r="K180" s="16" t="str">
        <f>HYPERLINK("file:///C:/Users/kapil/OneDrive/Desktop/CPPandScripting/CPP_Data/Striver_DSA_Handwritten_Explanations.md#problem-179-clone-a-ll-with-random-and-next-pointer","Notes P179")</f>
        <v>Notes P179</v>
      </c>
    </row>
    <row r="181" spans="1:11" ht="34.049999999999997" customHeight="1" x14ac:dyDescent="0.3">
      <c r="A181" s="12">
        <v>180</v>
      </c>
      <c r="B181" s="5" t="s">
        <v>338</v>
      </c>
      <c r="C181" s="5" t="s">
        <v>270</v>
      </c>
      <c r="D181" s="5"/>
      <c r="E181" s="5"/>
      <c r="F181" s="5"/>
      <c r="G181" s="5"/>
      <c r="H181" s="13"/>
      <c r="I181" s="13"/>
      <c r="J181" s="5"/>
      <c r="K181" s="17" t="str">
        <f>HYPERLINK("file:///C:/Users/kapil/OneDrive/Desktop/CPPandScripting/CPP_Data/Striver_DSA_Handwritten_Explanations.md#problem-180-recursive-implementation-of-atoi","Notes P180")</f>
        <v>Notes P180</v>
      </c>
    </row>
    <row r="182" spans="1:11" ht="34.049999999999997" customHeight="1" x14ac:dyDescent="0.3">
      <c r="A182" s="9">
        <v>181</v>
      </c>
      <c r="B182" s="10" t="s">
        <v>339</v>
      </c>
      <c r="C182" s="10" t="s">
        <v>340</v>
      </c>
      <c r="D182" s="10" t="s">
        <v>915</v>
      </c>
      <c r="E182" s="10"/>
      <c r="F182" s="10"/>
      <c r="G182" s="10"/>
      <c r="H182" s="11"/>
      <c r="I182" s="11"/>
      <c r="J182" s="10"/>
      <c r="K182" s="16" t="str">
        <f>HYPERLINK("file:///C:/Users/kapil/OneDrive/Desktop/CPPandScripting/CPP_Data/Striver_DSA_Handwritten_Explanations.md#problem-181-pow-x-n","Notes P181")</f>
        <v>Notes P181</v>
      </c>
    </row>
    <row r="183" spans="1:11" ht="34.049999999999997" customHeight="1" x14ac:dyDescent="0.3">
      <c r="A183" s="12">
        <v>182</v>
      </c>
      <c r="B183" s="5" t="s">
        <v>341</v>
      </c>
      <c r="C183" s="5" t="s">
        <v>342</v>
      </c>
      <c r="D183" s="5"/>
      <c r="E183" s="5"/>
      <c r="F183" s="5"/>
      <c r="G183" s="5"/>
      <c r="H183" s="13"/>
      <c r="I183" s="13"/>
      <c r="J183" s="5"/>
      <c r="K183" s="17" t="str">
        <f>HYPERLINK("file:///C:/Users/kapil/OneDrive/Desktop/CPPandScripting/CPP_Data/Striver_DSA_Handwritten_Explanations.md#problem-182-count-good-numbers","Notes P182")</f>
        <v>Notes P182</v>
      </c>
    </row>
    <row r="184" spans="1:11" ht="34.049999999999997" customHeight="1" x14ac:dyDescent="0.3">
      <c r="A184" s="9">
        <v>183</v>
      </c>
      <c r="B184" s="10" t="s">
        <v>343</v>
      </c>
      <c r="C184" s="10" t="s">
        <v>344</v>
      </c>
      <c r="D184" s="10"/>
      <c r="E184" s="10"/>
      <c r="F184" s="10"/>
      <c r="G184" s="10"/>
      <c r="H184" s="11"/>
      <c r="I184" s="11"/>
      <c r="J184" s="10"/>
      <c r="K184" s="16" t="str">
        <f>HYPERLINK("file:///C:/Users/kapil/OneDrive/Desktop/CPPandScripting/CPP_Data/Striver_DSA_Handwritten_Explanations.md#problem-183-sort-a-stack-using-recursion","Notes P183")</f>
        <v>Notes P183</v>
      </c>
    </row>
    <row r="185" spans="1:11" ht="34.049999999999997" customHeight="1" x14ac:dyDescent="0.3">
      <c r="A185" s="12">
        <v>184</v>
      </c>
      <c r="B185" s="5" t="s">
        <v>345</v>
      </c>
      <c r="C185" s="5" t="s">
        <v>346</v>
      </c>
      <c r="D185" s="5"/>
      <c r="E185" s="5"/>
      <c r="F185" s="5"/>
      <c r="G185" s="5"/>
      <c r="H185" s="13"/>
      <c r="I185" s="13"/>
      <c r="J185" s="5"/>
      <c r="K185" s="17" t="str">
        <f>HYPERLINK("file:///C:/Users/kapil/OneDrive/Desktop/CPPandScripting/CPP_Data/Striver_DSA_Handwritten_Explanations.md#problem-184-reverse-a-stack","Notes P184")</f>
        <v>Notes P184</v>
      </c>
    </row>
    <row r="186" spans="1:11" ht="34.049999999999997" customHeight="1" x14ac:dyDescent="0.3">
      <c r="A186" s="9">
        <v>185</v>
      </c>
      <c r="B186" s="10" t="s">
        <v>347</v>
      </c>
      <c r="C186" s="10" t="s">
        <v>348</v>
      </c>
      <c r="D186" s="10"/>
      <c r="E186" s="10"/>
      <c r="F186" s="10"/>
      <c r="G186" s="10"/>
      <c r="H186" s="11"/>
      <c r="I186" s="11"/>
      <c r="J186" s="10"/>
      <c r="K186" s="16" t="str">
        <f>HYPERLINK("file:///C:/Users/kapil/OneDrive/Desktop/CPPandScripting/CPP_Data/Striver_DSA_Handwritten_Explanations.md#problem-185-generate-binary-strings-without-consecutive-1s","Notes P185")</f>
        <v>Notes P185</v>
      </c>
    </row>
    <row r="187" spans="1:11" ht="34.049999999999997" customHeight="1" x14ac:dyDescent="0.3">
      <c r="A187" s="12">
        <v>186</v>
      </c>
      <c r="B187" s="5" t="s">
        <v>349</v>
      </c>
      <c r="C187" s="5" t="s">
        <v>350</v>
      </c>
      <c r="D187" s="5"/>
      <c r="E187" s="5"/>
      <c r="F187" s="5"/>
      <c r="G187" s="5"/>
      <c r="H187" s="13"/>
      <c r="I187" s="13"/>
      <c r="J187" s="5"/>
      <c r="K187" s="17" t="str">
        <f>HYPERLINK("file:///C:/Users/kapil/OneDrive/Desktop/CPPandScripting/CPP_Data/Striver_DSA_Handwritten_Explanations.md#problem-186-generate-parentheses","Notes P186")</f>
        <v>Notes P186</v>
      </c>
    </row>
    <row r="188" spans="1:11" ht="34.049999999999997" customHeight="1" x14ac:dyDescent="0.3">
      <c r="A188" s="9">
        <v>187</v>
      </c>
      <c r="B188" s="10" t="s">
        <v>351</v>
      </c>
      <c r="C188" s="10" t="s">
        <v>352</v>
      </c>
      <c r="D188" s="10" t="s">
        <v>939</v>
      </c>
      <c r="E188" s="10"/>
      <c r="F188" s="10"/>
      <c r="G188" s="10"/>
      <c r="H188" s="11"/>
      <c r="I188" s="11"/>
      <c r="J188" s="10"/>
      <c r="K188" s="16" t="str">
        <f>HYPERLINK("file:///C:/Users/kapil/OneDrive/Desktop/CPPandScripting/CPP_Data/Striver_DSA_Handwritten_Explanations.md#problem-187-power-set","Notes P187")</f>
        <v>Notes P187</v>
      </c>
    </row>
    <row r="189" spans="1:11" ht="34.049999999999997" customHeight="1" x14ac:dyDescent="0.3">
      <c r="A189" s="12">
        <v>188</v>
      </c>
      <c r="B189" s="5" t="s">
        <v>353</v>
      </c>
      <c r="C189" s="5" t="s">
        <v>354</v>
      </c>
      <c r="D189" s="5"/>
      <c r="E189" s="5"/>
      <c r="F189" s="5"/>
      <c r="G189" s="5"/>
      <c r="H189" s="13"/>
      <c r="I189" s="13"/>
      <c r="J189" s="5"/>
      <c r="K189" s="17" t="str">
        <f>HYPERLINK("file:///C:/Users/kapil/OneDrive/Desktop/CPPandScripting/CPP_Data/Striver_DSA_Handwritten_Explanations.md#problem-188-learn-all-patterns-of-subsequences-theory","Notes P188")</f>
        <v>Notes P188</v>
      </c>
    </row>
    <row r="190" spans="1:11" ht="34.049999999999997" customHeight="1" x14ac:dyDescent="0.3">
      <c r="A190" s="9">
        <v>189</v>
      </c>
      <c r="B190" s="10" t="s">
        <v>355</v>
      </c>
      <c r="C190" s="10" t="s">
        <v>356</v>
      </c>
      <c r="D190" s="10"/>
      <c r="E190" s="10"/>
      <c r="F190" s="10"/>
      <c r="G190" s="10"/>
      <c r="H190" s="11"/>
      <c r="I190" s="11"/>
      <c r="J190" s="10"/>
      <c r="K190" s="16" t="str">
        <f>HYPERLINK("file:///C:/Users/kapil/OneDrive/Desktop/CPPandScripting/CPP_Data/Striver_DSA_Handwritten_Explanations.md#problem-189-count-all-subsequences-with-sum-k","Notes P189")</f>
        <v>Notes P189</v>
      </c>
    </row>
    <row r="191" spans="1:11" ht="34.049999999999997" customHeight="1" x14ac:dyDescent="0.3">
      <c r="A191" s="12">
        <v>190</v>
      </c>
      <c r="B191" s="5" t="s">
        <v>357</v>
      </c>
      <c r="C191" s="5" t="s">
        <v>358</v>
      </c>
      <c r="D191" s="5"/>
      <c r="E191" s="5"/>
      <c r="F191" s="5"/>
      <c r="G191" s="5"/>
      <c r="H191" s="13"/>
      <c r="I191" s="13"/>
      <c r="J191" s="5"/>
      <c r="K191" s="17" t="str">
        <f>HYPERLINK("file:///C:/Users/kapil/OneDrive/Desktop/CPPandScripting/CPP_Data/Striver_DSA_Handwritten_Explanations.md#problem-190-check-if-there-exists-a-subsequence-with-sum-k","Notes P190")</f>
        <v>Notes P190</v>
      </c>
    </row>
    <row r="192" spans="1:11" ht="34.049999999999997" customHeight="1" x14ac:dyDescent="0.3">
      <c r="A192" s="9">
        <v>191</v>
      </c>
      <c r="B192" s="10" t="s">
        <v>359</v>
      </c>
      <c r="C192" s="10" t="s">
        <v>360</v>
      </c>
      <c r="D192" s="10" t="s">
        <v>940</v>
      </c>
      <c r="E192" s="10"/>
      <c r="F192" s="10"/>
      <c r="G192" s="10"/>
      <c r="H192" s="11"/>
      <c r="I192" s="11"/>
      <c r="J192" s="10"/>
      <c r="K192" s="16" t="str">
        <f>HYPERLINK("file:///C:/Users/kapil/OneDrive/Desktop/CPPandScripting/CPP_Data/Striver_DSA_Handwritten_Explanations.md#problem-191-combination-sum","Notes P191")</f>
        <v>Notes P191</v>
      </c>
    </row>
    <row r="193" spans="1:11" ht="34.049999999999997" customHeight="1" x14ac:dyDescent="0.3">
      <c r="A193" s="12">
        <v>192</v>
      </c>
      <c r="B193" s="5" t="s">
        <v>361</v>
      </c>
      <c r="C193" s="5" t="s">
        <v>362</v>
      </c>
      <c r="D193" s="5"/>
      <c r="E193" s="5"/>
      <c r="F193" s="5"/>
      <c r="G193" s="5"/>
      <c r="H193" s="13"/>
      <c r="I193" s="13"/>
      <c r="J193" s="5"/>
      <c r="K193" s="17" t="str">
        <f>HYPERLINK("file:///C:/Users/kapil/OneDrive/Desktop/CPPandScripting/CPP_Data/Striver_DSA_Handwritten_Explanations.md#problem-192-combination-sum-ii","Notes P192")</f>
        <v>Notes P192</v>
      </c>
    </row>
    <row r="194" spans="1:11" ht="34.049999999999997" customHeight="1" x14ac:dyDescent="0.3">
      <c r="A194" s="9">
        <v>193</v>
      </c>
      <c r="B194" s="10" t="s">
        <v>363</v>
      </c>
      <c r="C194" s="10" t="s">
        <v>364</v>
      </c>
      <c r="D194" s="10" t="s">
        <v>939</v>
      </c>
      <c r="E194" s="10"/>
      <c r="F194" s="10"/>
      <c r="G194" s="10"/>
      <c r="H194" s="11"/>
      <c r="I194" s="11"/>
      <c r="J194" s="10"/>
      <c r="K194" s="16" t="str">
        <f>HYPERLINK("file:///C:/Users/kapil/OneDrive/Desktop/CPPandScripting/CPP_Data/Striver_DSA_Handwritten_Explanations.md#problem-193-subsets-i","Notes P193")</f>
        <v>Notes P193</v>
      </c>
    </row>
    <row r="195" spans="1:11" ht="34.049999999999997" customHeight="1" x14ac:dyDescent="0.3">
      <c r="A195" s="12">
        <v>194</v>
      </c>
      <c r="B195" s="5" t="s">
        <v>365</v>
      </c>
      <c r="C195" s="5" t="s">
        <v>366</v>
      </c>
      <c r="D195" s="5" t="s">
        <v>939</v>
      </c>
      <c r="E195" s="5"/>
      <c r="F195" s="5"/>
      <c r="G195" s="5"/>
      <c r="H195" s="13"/>
      <c r="I195" s="13"/>
      <c r="J195" s="5"/>
      <c r="K195" s="17" t="str">
        <f>HYPERLINK("file:///C:/Users/kapil/OneDrive/Desktop/CPPandScripting/CPP_Data/Striver_DSA_Handwritten_Explanations.md#problem-194-subsets-ii","Notes P194")</f>
        <v>Notes P194</v>
      </c>
    </row>
    <row r="196" spans="1:11" ht="34.049999999999997" customHeight="1" x14ac:dyDescent="0.3">
      <c r="A196" s="9">
        <v>195</v>
      </c>
      <c r="B196" s="10" t="s">
        <v>367</v>
      </c>
      <c r="C196" s="10" t="s">
        <v>368</v>
      </c>
      <c r="D196" s="10"/>
      <c r="E196" s="10"/>
      <c r="F196" s="10"/>
      <c r="G196" s="10"/>
      <c r="H196" s="11"/>
      <c r="I196" s="11"/>
      <c r="J196" s="10"/>
      <c r="K196" s="16" t="str">
        <f>HYPERLINK("file:///C:/Users/kapil/OneDrive/Desktop/CPPandScripting/CPP_Data/Striver_DSA_Handwritten_Explanations.md#problem-195-combination-sum-iii","Notes P195")</f>
        <v>Notes P195</v>
      </c>
    </row>
    <row r="197" spans="1:11" ht="34.049999999999997" customHeight="1" x14ac:dyDescent="0.3">
      <c r="A197" s="12">
        <v>196</v>
      </c>
      <c r="B197" s="5" t="s">
        <v>369</v>
      </c>
      <c r="C197" s="5" t="s">
        <v>370</v>
      </c>
      <c r="D197" s="5"/>
      <c r="E197" s="5"/>
      <c r="F197" s="5"/>
      <c r="G197" s="5"/>
      <c r="H197" s="13"/>
      <c r="I197" s="13"/>
      <c r="J197" s="5"/>
      <c r="K197" s="17" t="str">
        <f>HYPERLINK("file:///C:/Users/kapil/OneDrive/Desktop/CPPandScripting/CPP_Data/Striver_DSA_Handwritten_Explanations.md#problem-196-letter-combinations-of-a-phone-number","Notes P196")</f>
        <v>Notes P196</v>
      </c>
    </row>
    <row r="198" spans="1:11" ht="34.049999999999997" customHeight="1" x14ac:dyDescent="0.3">
      <c r="A198" s="9">
        <v>197</v>
      </c>
      <c r="B198" s="10" t="s">
        <v>371</v>
      </c>
      <c r="C198" s="10" t="s">
        <v>372</v>
      </c>
      <c r="D198" s="10" t="s">
        <v>941</v>
      </c>
      <c r="E198" s="10"/>
      <c r="F198" s="10"/>
      <c r="G198" s="10"/>
      <c r="H198" s="11"/>
      <c r="I198" s="11"/>
      <c r="J198" s="10"/>
      <c r="K198" s="16" t="str">
        <f>HYPERLINK("file:///C:/Users/kapil/OneDrive/Desktop/CPPandScripting/CPP_Data/Striver_DSA_Handwritten_Explanations.md#problem-197-palindrome-partitioning","Notes P197")</f>
        <v>Notes P197</v>
      </c>
    </row>
    <row r="199" spans="1:11" ht="34.049999999999997" customHeight="1" x14ac:dyDescent="0.3">
      <c r="A199" s="12">
        <v>198</v>
      </c>
      <c r="B199" s="5" t="s">
        <v>373</v>
      </c>
      <c r="C199" s="5" t="s">
        <v>374</v>
      </c>
      <c r="D199" s="5"/>
      <c r="E199" s="5"/>
      <c r="F199" s="5"/>
      <c r="G199" s="5"/>
      <c r="H199" s="13"/>
      <c r="I199" s="13"/>
      <c r="J199" s="5"/>
      <c r="K199" s="17" t="str">
        <f>HYPERLINK("file:///C:/Users/kapil/OneDrive/Desktop/CPPandScripting/CPP_Data/Striver_DSA_Handwritten_Explanations.md#problem-198-word-search","Notes P198")</f>
        <v>Notes P198</v>
      </c>
    </row>
    <row r="200" spans="1:11" ht="34.049999999999997" customHeight="1" x14ac:dyDescent="0.3">
      <c r="A200" s="9">
        <v>199</v>
      </c>
      <c r="B200" s="10" t="s">
        <v>375</v>
      </c>
      <c r="C200" s="10" t="s">
        <v>376</v>
      </c>
      <c r="D200" s="10" t="s">
        <v>942</v>
      </c>
      <c r="E200" s="10"/>
      <c r="F200" s="10"/>
      <c r="G200" s="10"/>
      <c r="H200" s="11"/>
      <c r="I200" s="11"/>
      <c r="J200" s="10"/>
      <c r="K200" s="16" t="str">
        <f>HYPERLINK("file:///C:/Users/kapil/OneDrive/Desktop/CPPandScripting/CPP_Data/Striver_DSA_Handwritten_Explanations.md#problem-199-n-queen","Notes P199")</f>
        <v>Notes P199</v>
      </c>
    </row>
    <row r="201" spans="1:11" ht="34.049999999999997" customHeight="1" x14ac:dyDescent="0.3">
      <c r="A201" s="12">
        <v>200</v>
      </c>
      <c r="B201" s="5" t="s">
        <v>377</v>
      </c>
      <c r="C201" s="5" t="s">
        <v>378</v>
      </c>
      <c r="D201" s="5" t="s">
        <v>943</v>
      </c>
      <c r="E201" s="5"/>
      <c r="F201" s="5"/>
      <c r="G201" s="5"/>
      <c r="H201" s="13"/>
      <c r="I201" s="13"/>
      <c r="J201" s="5"/>
      <c r="K201" s="17" t="str">
        <f>HYPERLINK("file:///C:/Users/kapil/OneDrive/Desktop/CPPandScripting/CPP_Data/Striver_DSA_Handwritten_Explanations.md#problem-200-rat-in-a-maze","Notes P200")</f>
        <v>Notes P200</v>
      </c>
    </row>
    <row r="202" spans="1:11" ht="34.049999999999997" customHeight="1" x14ac:dyDescent="0.3">
      <c r="A202" s="9">
        <v>201</v>
      </c>
      <c r="B202" s="10" t="s">
        <v>379</v>
      </c>
      <c r="C202" s="10" t="s">
        <v>380</v>
      </c>
      <c r="D202" s="10"/>
      <c r="E202" s="10"/>
      <c r="F202" s="10"/>
      <c r="G202" s="10"/>
      <c r="H202" s="11"/>
      <c r="I202" s="11"/>
      <c r="J202" s="10"/>
      <c r="K202" s="16" t="str">
        <f>HYPERLINK("file:///C:/Users/kapil/OneDrive/Desktop/CPPandScripting/CPP_Data/Striver_DSA_Handwritten_Explanations.md#problem-201-word-break","Notes P201")</f>
        <v>Notes P201</v>
      </c>
    </row>
    <row r="203" spans="1:11" ht="34.049999999999997" customHeight="1" x14ac:dyDescent="0.3">
      <c r="A203" s="12">
        <v>202</v>
      </c>
      <c r="B203" s="5" t="s">
        <v>381</v>
      </c>
      <c r="C203" s="5" t="s">
        <v>382</v>
      </c>
      <c r="D203" s="5"/>
      <c r="E203" s="5"/>
      <c r="F203" s="5"/>
      <c r="G203" s="5"/>
      <c r="H203" s="13"/>
      <c r="I203" s="13"/>
      <c r="J203" s="5"/>
      <c r="K203" s="17" t="str">
        <f>HYPERLINK("file:///C:/Users/kapil/OneDrive/Desktop/CPPandScripting/CPP_Data/Striver_DSA_Handwritten_Explanations.md#problem-202-m-coloring-problem","Notes P202")</f>
        <v>Notes P202</v>
      </c>
    </row>
    <row r="204" spans="1:11" ht="34.049999999999997" customHeight="1" x14ac:dyDescent="0.3">
      <c r="A204" s="9">
        <v>203</v>
      </c>
      <c r="B204" s="10" t="s">
        <v>383</v>
      </c>
      <c r="C204" s="10" t="s">
        <v>384</v>
      </c>
      <c r="D204" s="10" t="s">
        <v>944</v>
      </c>
      <c r="E204" s="10"/>
      <c r="F204" s="10"/>
      <c r="G204" s="10"/>
      <c r="H204" s="11"/>
      <c r="I204" s="11"/>
      <c r="J204" s="10"/>
      <c r="K204" s="16" t="str">
        <f>HYPERLINK("file:///C:/Users/kapil/OneDrive/Desktop/CPPandScripting/CPP_Data/Striver_DSA_Handwritten_Explanations.md#problem-203-sudoku-solver","Notes P203")</f>
        <v>Notes P203</v>
      </c>
    </row>
    <row r="205" spans="1:11" ht="34.049999999999997" customHeight="1" x14ac:dyDescent="0.3">
      <c r="A205" s="12">
        <v>204</v>
      </c>
      <c r="B205" s="5" t="s">
        <v>385</v>
      </c>
      <c r="C205" s="5" t="s">
        <v>386</v>
      </c>
      <c r="D205" s="5"/>
      <c r="E205" s="5"/>
      <c r="F205" s="5"/>
      <c r="G205" s="5"/>
      <c r="H205" s="13"/>
      <c r="I205" s="13"/>
      <c r="J205" s="5"/>
      <c r="K205" s="17" t="str">
        <f>HYPERLINK("file:///C:/Users/kapil/OneDrive/Desktop/CPPandScripting/CPP_Data/Striver_DSA_Handwritten_Explanations.md#problem-204-expression-add-operators","Notes P204")</f>
        <v>Notes P204</v>
      </c>
    </row>
    <row r="206" spans="1:11" ht="34.049999999999997" customHeight="1" x14ac:dyDescent="0.3">
      <c r="A206" s="9">
        <v>205</v>
      </c>
      <c r="B206" s="10" t="s">
        <v>387</v>
      </c>
      <c r="C206" s="10" t="s">
        <v>388</v>
      </c>
      <c r="D206" s="10" t="s">
        <v>1003</v>
      </c>
      <c r="E206" s="10"/>
      <c r="F206" s="10"/>
      <c r="G206" s="10"/>
      <c r="H206" s="11"/>
      <c r="I206" s="11"/>
      <c r="J206" s="10"/>
      <c r="K206" s="16" t="str">
        <f>HYPERLINK("file:///C:/Users/kapil/OneDrive/Desktop/CPPandScripting/CPP_Data/Striver_DSA_Handwritten_Explanations.md#problem-205-introduction-to-bits-and-tricks","Notes P205")</f>
        <v>Notes P205</v>
      </c>
    </row>
    <row r="207" spans="1:11" ht="34.049999999999997" customHeight="1" x14ac:dyDescent="0.3">
      <c r="A207" s="12">
        <v>206</v>
      </c>
      <c r="B207" s="5" t="s">
        <v>389</v>
      </c>
      <c r="C207" s="5" t="s">
        <v>390</v>
      </c>
      <c r="D207" s="5"/>
      <c r="E207" s="5"/>
      <c r="F207" s="5"/>
      <c r="G207" s="5"/>
      <c r="H207" s="13"/>
      <c r="I207" s="13"/>
      <c r="J207" s="5"/>
      <c r="K207" s="17" t="str">
        <f>HYPERLINK("file:///C:/Users/kapil/OneDrive/Desktop/CPPandScripting/CPP_Data/Striver_DSA_Handwritten_Explanations.md#problem-206-check-if-the-i-th-bit-is-set-or-not","Notes P206")</f>
        <v>Notes P206</v>
      </c>
    </row>
    <row r="208" spans="1:11" ht="34.049999999999997" customHeight="1" x14ac:dyDescent="0.3">
      <c r="A208" s="9">
        <v>207</v>
      </c>
      <c r="B208" s="10" t="s">
        <v>391</v>
      </c>
      <c r="C208" s="10" t="s">
        <v>392</v>
      </c>
      <c r="D208" s="10"/>
      <c r="E208" s="10"/>
      <c r="F208" s="10"/>
      <c r="G208" s="10"/>
      <c r="H208" s="11"/>
      <c r="I208" s="11"/>
      <c r="J208" s="10"/>
      <c r="K208" s="16" t="str">
        <f>HYPERLINK("file:///C:/Users/kapil/OneDrive/Desktop/CPPandScripting/CPP_Data/Striver_DSA_Handwritten_Explanations.md#problem-207-check-if-a-number-is-odd-or-not","Notes P207")</f>
        <v>Notes P207</v>
      </c>
    </row>
    <row r="209" spans="1:11" ht="34.049999999999997" customHeight="1" x14ac:dyDescent="0.3">
      <c r="A209" s="12">
        <v>208</v>
      </c>
      <c r="B209" s="5" t="s">
        <v>393</v>
      </c>
      <c r="C209" s="5" t="s">
        <v>394</v>
      </c>
      <c r="D209" s="5"/>
      <c r="E209" s="5"/>
      <c r="F209" s="5"/>
      <c r="G209" s="5"/>
      <c r="H209" s="13"/>
      <c r="I209" s="13"/>
      <c r="J209" s="5"/>
      <c r="K209" s="17" t="str">
        <f>HYPERLINK("file:///C:/Users/kapil/OneDrive/Desktop/CPPandScripting/CPP_Data/Striver_DSA_Handwritten_Explanations.md#problem-208-check-if-a-number-is-power-of-2-or-not","Notes P208")</f>
        <v>Notes P208</v>
      </c>
    </row>
    <row r="210" spans="1:11" ht="34.049999999999997" customHeight="1" x14ac:dyDescent="0.3">
      <c r="A210" s="9">
        <v>209</v>
      </c>
      <c r="B210" s="10" t="s">
        <v>395</v>
      </c>
      <c r="C210" s="10" t="s">
        <v>396</v>
      </c>
      <c r="D210" s="10"/>
      <c r="E210" s="10"/>
      <c r="F210" s="10"/>
      <c r="G210" s="10"/>
      <c r="H210" s="11"/>
      <c r="I210" s="11"/>
      <c r="J210" s="10"/>
      <c r="K210" s="16" t="str">
        <f>HYPERLINK("file:///C:/Users/kapil/OneDrive/Desktop/CPPandScripting/CPP_Data/Striver_DSA_Handwritten_Explanations.md#problem-209-count-the-number-of-set-bits","Notes P209")</f>
        <v>Notes P209</v>
      </c>
    </row>
    <row r="211" spans="1:11" ht="34.049999999999997" customHeight="1" x14ac:dyDescent="0.3">
      <c r="A211" s="12">
        <v>210</v>
      </c>
      <c r="B211" s="5" t="s">
        <v>397</v>
      </c>
      <c r="C211" s="5" t="s">
        <v>398</v>
      </c>
      <c r="D211" s="5"/>
      <c r="E211" s="5"/>
      <c r="F211" s="5"/>
      <c r="G211" s="5"/>
      <c r="H211" s="13"/>
      <c r="I211" s="13"/>
      <c r="J211" s="5"/>
      <c r="K211" s="17" t="str">
        <f>HYPERLINK("file:///C:/Users/kapil/OneDrive/Desktop/CPPandScripting/CPP_Data/Striver_DSA_Handwritten_Explanations.md#problem-210-set-unset-the-rightmost-unset-bit","Notes P210")</f>
        <v>Notes P210</v>
      </c>
    </row>
    <row r="212" spans="1:11" ht="34.049999999999997" customHeight="1" x14ac:dyDescent="0.3">
      <c r="A212" s="9">
        <v>211</v>
      </c>
      <c r="B212" s="10" t="s">
        <v>399</v>
      </c>
      <c r="C212" s="10" t="s">
        <v>400</v>
      </c>
      <c r="D212" s="10"/>
      <c r="E212" s="10"/>
      <c r="F212" s="10"/>
      <c r="G212" s="10"/>
      <c r="H212" s="11"/>
      <c r="I212" s="11"/>
      <c r="J212" s="10"/>
      <c r="K212" s="16" t="str">
        <f>HYPERLINK("file:///C:/Users/kapil/OneDrive/Desktop/CPPandScripting/CPP_Data/Striver_DSA_Handwritten_Explanations.md#problem-211-swap-two-numbers","Notes P211")</f>
        <v>Notes P211</v>
      </c>
    </row>
    <row r="213" spans="1:11" ht="34.049999999999997" customHeight="1" x14ac:dyDescent="0.3">
      <c r="A213" s="12">
        <v>212</v>
      </c>
      <c r="B213" s="5" t="s">
        <v>401</v>
      </c>
      <c r="C213" s="5" t="s">
        <v>402</v>
      </c>
      <c r="D213" s="5"/>
      <c r="E213" s="5"/>
      <c r="F213" s="5"/>
      <c r="G213" s="5"/>
      <c r="H213" s="13"/>
      <c r="I213" s="13"/>
      <c r="J213" s="5"/>
      <c r="K213" s="17" t="str">
        <f>HYPERLINK("file:///C:/Users/kapil/OneDrive/Desktop/CPPandScripting/CPP_Data/Striver_DSA_Handwritten_Explanations.md#problem-212-divide-two-numbers-without-multiplication-and-divi","Notes P212")</f>
        <v>Notes P212</v>
      </c>
    </row>
    <row r="214" spans="1:11" ht="34.049999999999997" customHeight="1" x14ac:dyDescent="0.3">
      <c r="A214" s="9">
        <v>213</v>
      </c>
      <c r="B214" s="10" t="s">
        <v>403</v>
      </c>
      <c r="C214" s="10" t="s">
        <v>404</v>
      </c>
      <c r="D214" s="10"/>
      <c r="E214" s="10"/>
      <c r="F214" s="10"/>
      <c r="G214" s="10"/>
      <c r="H214" s="11"/>
      <c r="I214" s="11"/>
      <c r="J214" s="10"/>
      <c r="K214" s="16" t="str">
        <f>HYPERLINK("file:///C:/Users/kapil/OneDrive/Desktop/CPPandScripting/CPP_Data/Striver_DSA_Handwritten_Explanations.md#problem-213-minimum-bit-flips-to-convert-number","Notes P213")</f>
        <v>Notes P213</v>
      </c>
    </row>
    <row r="215" spans="1:11" ht="34.049999999999997" customHeight="1" x14ac:dyDescent="0.3">
      <c r="A215" s="12">
        <v>214</v>
      </c>
      <c r="B215" s="5" t="s">
        <v>405</v>
      </c>
      <c r="C215" s="5" t="s">
        <v>129</v>
      </c>
      <c r="D215" s="5"/>
      <c r="E215" s="5"/>
      <c r="F215" s="5"/>
      <c r="G215" s="5"/>
      <c r="H215" s="13"/>
      <c r="I215" s="13"/>
      <c r="J215" s="5"/>
      <c r="K215" s="17" t="str">
        <f>HYPERLINK("file:///C:/Users/kapil/OneDrive/Desktop/CPPandScripting/CPP_Data/Striver_DSA_Handwritten_Explanations.md#problem-214-single-number-i","Notes P214")</f>
        <v>Notes P214</v>
      </c>
    </row>
    <row r="216" spans="1:11" ht="34.049999999999997" customHeight="1" x14ac:dyDescent="0.3">
      <c r="A216" s="9">
        <v>215</v>
      </c>
      <c r="B216" s="10" t="s">
        <v>406</v>
      </c>
      <c r="C216" s="10" t="s">
        <v>407</v>
      </c>
      <c r="D216" s="10"/>
      <c r="E216" s="10"/>
      <c r="F216" s="10"/>
      <c r="G216" s="10"/>
      <c r="H216" s="11"/>
      <c r="I216" s="11"/>
      <c r="J216" s="10"/>
      <c r="K216" s="16" t="str">
        <f>HYPERLINK("file:///C:/Users/kapil/OneDrive/Desktop/CPPandScripting/CPP_Data/Striver_DSA_Handwritten_Explanations.md#problem-215-power-set-bit-manipulation","Notes P215")</f>
        <v>Notes P215</v>
      </c>
    </row>
    <row r="217" spans="1:11" ht="34.049999999999997" customHeight="1" x14ac:dyDescent="0.3">
      <c r="A217" s="12">
        <v>216</v>
      </c>
      <c r="B217" s="5" t="s">
        <v>408</v>
      </c>
      <c r="C217" s="5" t="s">
        <v>409</v>
      </c>
      <c r="D217" s="5"/>
      <c r="E217" s="5"/>
      <c r="F217" s="5"/>
      <c r="G217" s="5"/>
      <c r="H217" s="13"/>
      <c r="I217" s="13"/>
      <c r="J217" s="5"/>
      <c r="K217" s="17" t="str">
        <f>HYPERLINK("file:///C:/Users/kapil/OneDrive/Desktop/CPPandScripting/CPP_Data/Striver_DSA_Handwritten_Explanations.md#problem-216-xor-of-numbers-in-a-given-range","Notes P216")</f>
        <v>Notes P216</v>
      </c>
    </row>
    <row r="218" spans="1:11" ht="34.049999999999997" customHeight="1" x14ac:dyDescent="0.3">
      <c r="A218" s="9">
        <v>217</v>
      </c>
      <c r="B218" s="10" t="s">
        <v>410</v>
      </c>
      <c r="C218" s="10" t="s">
        <v>411</v>
      </c>
      <c r="D218" s="10"/>
      <c r="E218" s="10"/>
      <c r="F218" s="10"/>
      <c r="G218" s="10"/>
      <c r="H218" s="11"/>
      <c r="I218" s="11"/>
      <c r="J218" s="10"/>
      <c r="K218" s="16" t="str">
        <f>HYPERLINK("file:///C:/Users/kapil/OneDrive/Desktop/CPPandScripting/CPP_Data/Striver_DSA_Handwritten_Explanations.md#problem-217-single-number-iii","Notes P217")</f>
        <v>Notes P217</v>
      </c>
    </row>
    <row r="219" spans="1:11" ht="34.049999999999997" customHeight="1" x14ac:dyDescent="0.3">
      <c r="A219" s="12">
        <v>218</v>
      </c>
      <c r="B219" s="5" t="s">
        <v>412</v>
      </c>
      <c r="C219" s="5" t="s">
        <v>411</v>
      </c>
      <c r="D219" s="5"/>
      <c r="E219" s="5"/>
      <c r="F219" s="5"/>
      <c r="G219" s="5"/>
      <c r="H219" s="13"/>
      <c r="I219" s="13"/>
      <c r="J219" s="5"/>
      <c r="K219" s="17" t="str">
        <f>HYPERLINK("file:///C:/Users/kapil/OneDrive/Desktop/CPPandScripting/CPP_Data/Striver_DSA_Handwritten_Explanations.md#problem-218-print-prime-factors-of-a-number","Notes P218")</f>
        <v>Notes P218</v>
      </c>
    </row>
    <row r="220" spans="1:11" ht="34.049999999999997" customHeight="1" x14ac:dyDescent="0.3">
      <c r="A220" s="9">
        <v>219</v>
      </c>
      <c r="B220" s="10" t="s">
        <v>413</v>
      </c>
      <c r="C220" s="10" t="s">
        <v>66</v>
      </c>
      <c r="D220" s="10"/>
      <c r="E220" s="10"/>
      <c r="F220" s="10"/>
      <c r="G220" s="10"/>
      <c r="H220" s="11"/>
      <c r="I220" s="11"/>
      <c r="J220" s="10"/>
      <c r="K220" s="16" t="str">
        <f>HYPERLINK("file:///C:/Users/kapil/OneDrive/Desktop/CPPandScripting/CPP_Data/Striver_DSA_Handwritten_Explanations.md#problem-219-divisors-of-a-number","Notes P219")</f>
        <v>Notes P219</v>
      </c>
    </row>
    <row r="221" spans="1:11" ht="34.049999999999997" customHeight="1" x14ac:dyDescent="0.3">
      <c r="A221" s="12">
        <v>220</v>
      </c>
      <c r="B221" s="5" t="s">
        <v>414</v>
      </c>
      <c r="C221" s="5" t="s">
        <v>415</v>
      </c>
      <c r="D221" s="5"/>
      <c r="E221" s="5"/>
      <c r="F221" s="5"/>
      <c r="G221" s="5"/>
      <c r="H221" s="13"/>
      <c r="I221" s="13"/>
      <c r="J221" s="5"/>
      <c r="K221" s="17" t="str">
        <f>HYPERLINK("file:///C:/Users/kapil/OneDrive/Desktop/CPPandScripting/CPP_Data/Striver_DSA_Handwritten_Explanations.md#problem-220-count-primes-in-range-l-to-r","Notes P220")</f>
        <v>Notes P220</v>
      </c>
    </row>
    <row r="222" spans="1:11" ht="34.049999999999997" customHeight="1" x14ac:dyDescent="0.3">
      <c r="A222" s="9">
        <v>221</v>
      </c>
      <c r="B222" s="10" t="s">
        <v>416</v>
      </c>
      <c r="C222" s="10" t="s">
        <v>411</v>
      </c>
      <c r="D222" s="10"/>
      <c r="E222" s="10"/>
      <c r="F222" s="10"/>
      <c r="G222" s="10"/>
      <c r="H222" s="11"/>
      <c r="I222" s="11"/>
      <c r="J222" s="10"/>
      <c r="K222" s="16" t="str">
        <f>HYPERLINK("file:///C:/Users/kapil/OneDrive/Desktop/CPPandScripting/CPP_Data/Striver_DSA_Handwritten_Explanations.md#problem-221-prime-factorisation-of-a-number","Notes P221")</f>
        <v>Notes P221</v>
      </c>
    </row>
    <row r="223" spans="1:11" ht="34.049999999999997" customHeight="1" x14ac:dyDescent="0.3">
      <c r="A223" s="12">
        <v>222</v>
      </c>
      <c r="B223" s="5" t="s">
        <v>417</v>
      </c>
      <c r="C223" s="5" t="s">
        <v>340</v>
      </c>
      <c r="D223" s="5" t="s">
        <v>915</v>
      </c>
      <c r="E223" s="5"/>
      <c r="F223" s="5"/>
      <c r="G223" s="5"/>
      <c r="H223" s="13"/>
      <c r="I223" s="13"/>
      <c r="J223" s="5"/>
      <c r="K223" s="17" t="str">
        <f>HYPERLINK("file:///C:/Users/kapil/OneDrive/Desktop/CPPandScripting/CPP_Data/Striver_DSA_Handwritten_Explanations.md#problem-222-pow-x-n","Notes P222")</f>
        <v>Notes P222</v>
      </c>
    </row>
    <row r="224" spans="1:11" ht="34.049999999999997" customHeight="1" x14ac:dyDescent="0.3">
      <c r="A224" s="9">
        <v>223</v>
      </c>
      <c r="B224" s="10" t="s">
        <v>418</v>
      </c>
      <c r="C224" s="10" t="s">
        <v>419</v>
      </c>
      <c r="D224" s="10" t="s">
        <v>945</v>
      </c>
      <c r="E224" s="10"/>
      <c r="F224" s="10"/>
      <c r="G224" s="10"/>
      <c r="H224" s="11"/>
      <c r="I224" s="11"/>
      <c r="J224" s="10"/>
      <c r="K224" s="16" t="str">
        <f>HYPERLINK("file:///C:/Users/kapil/OneDrive/Desktop/CPPandScripting/CPP_Data/Striver_DSA_Handwritten_Explanations.md#problem-223-implement-stack-using-arrays","Notes P223")</f>
        <v>Notes P223</v>
      </c>
    </row>
    <row r="225" spans="1:11" ht="34.049999999999997" customHeight="1" x14ac:dyDescent="0.3">
      <c r="A225" s="12">
        <v>224</v>
      </c>
      <c r="B225" s="5" t="s">
        <v>420</v>
      </c>
      <c r="C225" s="5" t="s">
        <v>421</v>
      </c>
      <c r="D225" s="5" t="s">
        <v>946</v>
      </c>
      <c r="E225" s="5"/>
      <c r="F225" s="5"/>
      <c r="G225" s="5"/>
      <c r="H225" s="13"/>
      <c r="I225" s="13"/>
      <c r="J225" s="5"/>
      <c r="K225" s="17" t="str">
        <f>HYPERLINK("file:///C:/Users/kapil/OneDrive/Desktop/CPPandScripting/CPP_Data/Striver_DSA_Handwritten_Explanations.md#problem-224-implement-queue-using-arrays","Notes P224")</f>
        <v>Notes P224</v>
      </c>
    </row>
    <row r="226" spans="1:11" ht="34.049999999999997" customHeight="1" x14ac:dyDescent="0.3">
      <c r="A226" s="9">
        <v>225</v>
      </c>
      <c r="B226" s="10" t="s">
        <v>422</v>
      </c>
      <c r="C226" s="10" t="s">
        <v>423</v>
      </c>
      <c r="D226" s="10" t="s">
        <v>947</v>
      </c>
      <c r="E226" s="10"/>
      <c r="F226" s="10"/>
      <c r="G226" s="10"/>
      <c r="H226" s="11"/>
      <c r="I226" s="11"/>
      <c r="J226" s="10"/>
      <c r="K226" s="16" t="str">
        <f>HYPERLINK("file:///C:/Users/kapil/OneDrive/Desktop/CPPandScripting/CPP_Data/Striver_DSA_Handwritten_Explanations.md#problem-225-implement-stack-using-queue","Notes P225")</f>
        <v>Notes P225</v>
      </c>
    </row>
    <row r="227" spans="1:11" ht="34.049999999999997" customHeight="1" x14ac:dyDescent="0.3">
      <c r="A227" s="12">
        <v>226</v>
      </c>
      <c r="B227" s="5" t="s">
        <v>424</v>
      </c>
      <c r="C227" s="5" t="s">
        <v>425</v>
      </c>
      <c r="D227" s="5" t="s">
        <v>947</v>
      </c>
      <c r="E227" s="5"/>
      <c r="F227" s="5"/>
      <c r="G227" s="5"/>
      <c r="H227" s="13"/>
      <c r="I227" s="13"/>
      <c r="J227" s="5"/>
      <c r="K227" s="17" t="str">
        <f>HYPERLINK("file:///C:/Users/kapil/OneDrive/Desktop/CPPandScripting/CPP_Data/Striver_DSA_Handwritten_Explanations.md#problem-226-implement-queue-using-stack","Notes P226")</f>
        <v>Notes P226</v>
      </c>
    </row>
    <row r="228" spans="1:11" ht="34.049999999999997" customHeight="1" x14ac:dyDescent="0.3">
      <c r="A228" s="9">
        <v>227</v>
      </c>
      <c r="B228" s="10" t="s">
        <v>426</v>
      </c>
      <c r="C228" s="10" t="s">
        <v>427</v>
      </c>
      <c r="D228" s="10"/>
      <c r="E228" s="10"/>
      <c r="F228" s="10"/>
      <c r="G228" s="10"/>
      <c r="H228" s="11"/>
      <c r="I228" s="11"/>
      <c r="J228" s="10"/>
      <c r="K228" s="16" t="str">
        <f>HYPERLINK("file:///C:/Users/kapil/OneDrive/Desktop/CPPandScripting/CPP_Data/Striver_DSA_Handwritten_Explanations.md#problem-227-implement-stack-using-linkedlist","Notes P227")</f>
        <v>Notes P227</v>
      </c>
    </row>
    <row r="229" spans="1:11" ht="34.049999999999997" customHeight="1" x14ac:dyDescent="0.3">
      <c r="A229" s="12">
        <v>228</v>
      </c>
      <c r="B229" s="5" t="s">
        <v>428</v>
      </c>
      <c r="C229" s="5" t="s">
        <v>429</v>
      </c>
      <c r="D229" s="5"/>
      <c r="E229" s="5"/>
      <c r="F229" s="5"/>
      <c r="G229" s="5"/>
      <c r="H229" s="13"/>
      <c r="I229" s="13"/>
      <c r="J229" s="5"/>
      <c r="K229" s="17" t="str">
        <f>HYPERLINK("file:///C:/Users/kapil/OneDrive/Desktop/CPPandScripting/CPP_Data/Striver_DSA_Handwritten_Explanations.md#problem-228-implement-queue-using-linkedlist","Notes P228")</f>
        <v>Notes P228</v>
      </c>
    </row>
    <row r="230" spans="1:11" ht="34.049999999999997" customHeight="1" x14ac:dyDescent="0.3">
      <c r="A230" s="9">
        <v>229</v>
      </c>
      <c r="B230" s="10" t="s">
        <v>430</v>
      </c>
      <c r="C230" s="10" t="s">
        <v>431</v>
      </c>
      <c r="D230" s="10" t="s">
        <v>948</v>
      </c>
      <c r="E230" s="10"/>
      <c r="F230" s="10"/>
      <c r="G230" s="10"/>
      <c r="H230" s="11"/>
      <c r="I230" s="11"/>
      <c r="J230" s="10"/>
      <c r="K230" s="16" t="str">
        <f>HYPERLINK("file:///C:/Users/kapil/OneDrive/Desktop/CPPandScripting/CPP_Data/Striver_DSA_Handwritten_Explanations.md#problem-229-balanced-paranthesis","Notes P229")</f>
        <v>Notes P229</v>
      </c>
    </row>
    <row r="231" spans="1:11" ht="34.049999999999997" customHeight="1" x14ac:dyDescent="0.3">
      <c r="A231" s="12">
        <v>230</v>
      </c>
      <c r="B231" s="5" t="s">
        <v>432</v>
      </c>
      <c r="C231" s="5" t="s">
        <v>433</v>
      </c>
      <c r="D231" s="5" t="s">
        <v>949</v>
      </c>
      <c r="E231" s="5"/>
      <c r="F231" s="5"/>
      <c r="G231" s="5"/>
      <c r="H231" s="13"/>
      <c r="I231" s="13"/>
      <c r="J231" s="5"/>
      <c r="K231" s="17" t="str">
        <f>HYPERLINK("file:///C:/Users/kapil/OneDrive/Desktop/CPPandScripting/CPP_Data/Striver_DSA_Handwritten_Explanations.md#problem-230-implement-min-stack","Notes P230")</f>
        <v>Notes P230</v>
      </c>
    </row>
    <row r="232" spans="1:11" ht="34.049999999999997" customHeight="1" x14ac:dyDescent="0.3">
      <c r="A232" s="9">
        <v>231</v>
      </c>
      <c r="B232" s="10" t="s">
        <v>434</v>
      </c>
      <c r="C232" s="10" t="s">
        <v>435</v>
      </c>
      <c r="D232" s="10"/>
      <c r="E232" s="10"/>
      <c r="F232" s="10"/>
      <c r="G232" s="10"/>
      <c r="H232" s="11"/>
      <c r="I232" s="11"/>
      <c r="J232" s="10"/>
      <c r="K232" s="16" t="str">
        <f>HYPERLINK("file:///C:/Users/kapil/OneDrive/Desktop/CPPandScripting/CPP_Data/Striver_DSA_Handwritten_Explanations.md#problem-231-infix-to-postfix-conversion","Notes P231")</f>
        <v>Notes P231</v>
      </c>
    </row>
    <row r="233" spans="1:11" ht="34.049999999999997" customHeight="1" x14ac:dyDescent="0.3">
      <c r="A233" s="12">
        <v>232</v>
      </c>
      <c r="B233" s="5" t="s">
        <v>436</v>
      </c>
      <c r="C233" s="5" t="s">
        <v>437</v>
      </c>
      <c r="D233" s="5"/>
      <c r="E233" s="5"/>
      <c r="F233" s="5"/>
      <c r="G233" s="5"/>
      <c r="H233" s="13"/>
      <c r="I233" s="13"/>
      <c r="J233" s="5"/>
      <c r="K233" s="17" t="str">
        <f>HYPERLINK("file:///C:/Users/kapil/OneDrive/Desktop/CPPandScripting/CPP_Data/Striver_DSA_Handwritten_Explanations.md#problem-232-prefix-to-infix-conversion","Notes P232")</f>
        <v>Notes P232</v>
      </c>
    </row>
    <row r="234" spans="1:11" ht="34.049999999999997" customHeight="1" x14ac:dyDescent="0.3">
      <c r="A234" s="9">
        <v>233</v>
      </c>
      <c r="B234" s="10" t="s">
        <v>438</v>
      </c>
      <c r="C234" s="10" t="s">
        <v>439</v>
      </c>
      <c r="D234" s="10"/>
      <c r="E234" s="10"/>
      <c r="F234" s="10"/>
      <c r="G234" s="10"/>
      <c r="H234" s="11"/>
      <c r="I234" s="11"/>
      <c r="J234" s="10"/>
      <c r="K234" s="16" t="str">
        <f>HYPERLINK("file:///C:/Users/kapil/OneDrive/Desktop/CPPandScripting/CPP_Data/Striver_DSA_Handwritten_Explanations.md#problem-233-prefix-to-postfix-conversion","Notes P233")</f>
        <v>Notes P233</v>
      </c>
    </row>
    <row r="235" spans="1:11" ht="34.049999999999997" customHeight="1" x14ac:dyDescent="0.3">
      <c r="A235" s="12">
        <v>234</v>
      </c>
      <c r="B235" s="5" t="s">
        <v>440</v>
      </c>
      <c r="C235" s="5" t="s">
        <v>441</v>
      </c>
      <c r="D235" s="5"/>
      <c r="E235" s="5"/>
      <c r="F235" s="5"/>
      <c r="G235" s="5"/>
      <c r="H235" s="13"/>
      <c r="I235" s="13"/>
      <c r="J235" s="5"/>
      <c r="K235" s="17" t="str">
        <f>HYPERLINK("file:///C:/Users/kapil/OneDrive/Desktop/CPPandScripting/CPP_Data/Striver_DSA_Handwritten_Explanations.md#problem-234-postfix-to-prefix-conversion","Notes P234")</f>
        <v>Notes P234</v>
      </c>
    </row>
    <row r="236" spans="1:11" ht="34.049999999999997" customHeight="1" x14ac:dyDescent="0.3">
      <c r="A236" s="9">
        <v>235</v>
      </c>
      <c r="B236" s="10" t="s">
        <v>442</v>
      </c>
      <c r="C236" s="10" t="s">
        <v>443</v>
      </c>
      <c r="D236" s="10"/>
      <c r="E236" s="10"/>
      <c r="F236" s="10"/>
      <c r="G236" s="10"/>
      <c r="H236" s="11"/>
      <c r="I236" s="11"/>
      <c r="J236" s="10"/>
      <c r="K236" s="16" t="str">
        <f>HYPERLINK("file:///C:/Users/kapil/OneDrive/Desktop/CPPandScripting/CPP_Data/Striver_DSA_Handwritten_Explanations.md#problem-235-postfix-to-infix-conversion","Notes P235")</f>
        <v>Notes P235</v>
      </c>
    </row>
    <row r="237" spans="1:11" ht="34.049999999999997" customHeight="1" x14ac:dyDescent="0.3">
      <c r="A237" s="12">
        <v>236</v>
      </c>
      <c r="B237" s="5" t="s">
        <v>444</v>
      </c>
      <c r="C237" s="5" t="s">
        <v>445</v>
      </c>
      <c r="D237" s="5"/>
      <c r="E237" s="5"/>
      <c r="F237" s="5"/>
      <c r="G237" s="5"/>
      <c r="H237" s="13"/>
      <c r="I237" s="13"/>
      <c r="J237" s="5"/>
      <c r="K237" s="17" t="str">
        <f>HYPERLINK("file:///C:/Users/kapil/OneDrive/Desktop/CPPandScripting/CPP_Data/Striver_DSA_Handwritten_Explanations.md#problem-236-infix-to-prefix-conversion","Notes P236")</f>
        <v>Notes P236</v>
      </c>
    </row>
    <row r="238" spans="1:11" ht="34.049999999999997" customHeight="1" x14ac:dyDescent="0.3">
      <c r="A238" s="9">
        <v>237</v>
      </c>
      <c r="B238" s="10" t="s">
        <v>446</v>
      </c>
      <c r="C238" s="10" t="s">
        <v>447</v>
      </c>
      <c r="D238" s="10" t="s">
        <v>950</v>
      </c>
      <c r="E238" s="10"/>
      <c r="F238" s="10"/>
      <c r="G238" s="10"/>
      <c r="H238" s="11"/>
      <c r="I238" s="11"/>
      <c r="J238" s="10"/>
      <c r="K238" s="16" t="str">
        <f>HYPERLINK("file:///C:/Users/kapil/OneDrive/Desktop/CPPandScripting/CPP_Data/Striver_DSA_Handwritten_Explanations.md#problem-237-next-greater-element","Notes P237")</f>
        <v>Notes P237</v>
      </c>
    </row>
    <row r="239" spans="1:11" ht="34.049999999999997" customHeight="1" x14ac:dyDescent="0.3">
      <c r="A239" s="12">
        <v>238</v>
      </c>
      <c r="B239" s="5" t="s">
        <v>448</v>
      </c>
      <c r="C239" s="5" t="s">
        <v>449</v>
      </c>
      <c r="D239" s="5" t="s">
        <v>951</v>
      </c>
      <c r="E239" s="5"/>
      <c r="F239" s="5"/>
      <c r="G239" s="5"/>
      <c r="H239" s="13"/>
      <c r="I239" s="13"/>
      <c r="J239" s="5"/>
      <c r="K239" s="17" t="str">
        <f>HYPERLINK("file:///C:/Users/kapil/OneDrive/Desktop/CPPandScripting/CPP_Data/Striver_DSA_Handwritten_Explanations.md#problem-238-next-greater-element-2","Notes P238")</f>
        <v>Notes P238</v>
      </c>
    </row>
    <row r="240" spans="1:11" ht="34.049999999999997" customHeight="1" x14ac:dyDescent="0.3">
      <c r="A240" s="9">
        <v>239</v>
      </c>
      <c r="B240" s="10" t="s">
        <v>450</v>
      </c>
      <c r="C240" s="10" t="s">
        <v>451</v>
      </c>
      <c r="D240" s="10"/>
      <c r="E240" s="10"/>
      <c r="F240" s="10"/>
      <c r="G240" s="10"/>
      <c r="H240" s="11"/>
      <c r="I240" s="11"/>
      <c r="J240" s="10"/>
      <c r="K240" s="16" t="str">
        <f>HYPERLINK("file:///C:/Users/kapil/OneDrive/Desktop/CPPandScripting/CPP_Data/Striver_DSA_Handwritten_Explanations.md#problem-239-next-smaller-element","Notes P239")</f>
        <v>Notes P239</v>
      </c>
    </row>
    <row r="241" spans="1:11" ht="34.049999999999997" customHeight="1" x14ac:dyDescent="0.3">
      <c r="A241" s="12">
        <v>240</v>
      </c>
      <c r="B241" s="5" t="s">
        <v>452</v>
      </c>
      <c r="C241" s="5" t="s">
        <v>453</v>
      </c>
      <c r="D241" s="5"/>
      <c r="E241" s="5"/>
      <c r="F241" s="5"/>
      <c r="G241" s="5"/>
      <c r="H241" s="13"/>
      <c r="I241" s="13"/>
      <c r="J241" s="5"/>
      <c r="K241" s="17" t="str">
        <f>HYPERLINK("file:///C:/Users/kapil/OneDrive/Desktop/CPPandScripting/CPP_Data/Striver_DSA_Handwritten_Explanations.md#problem-240-number-of-greater-elements-to-the-right","Notes P240")</f>
        <v>Notes P240</v>
      </c>
    </row>
    <row r="242" spans="1:11" ht="34.049999999999997" customHeight="1" x14ac:dyDescent="0.3">
      <c r="A242" s="9">
        <v>241</v>
      </c>
      <c r="B242" s="10" t="s">
        <v>454</v>
      </c>
      <c r="C242" s="10" t="s">
        <v>455</v>
      </c>
      <c r="D242" s="10" t="s">
        <v>952</v>
      </c>
      <c r="E242" s="10"/>
      <c r="F242" s="10"/>
      <c r="G242" s="10"/>
      <c r="H242" s="11"/>
      <c r="I242" s="11"/>
      <c r="J242" s="10"/>
      <c r="K242" s="16" t="str">
        <f>HYPERLINK("file:///C:/Users/kapil/OneDrive/Desktop/CPPandScripting/CPP_Data/Striver_DSA_Handwritten_Explanations.md#problem-241-trapping-rainwater","Notes P241")</f>
        <v>Notes P241</v>
      </c>
    </row>
    <row r="243" spans="1:11" ht="34.049999999999997" customHeight="1" x14ac:dyDescent="0.3">
      <c r="A243" s="12">
        <v>242</v>
      </c>
      <c r="B243" s="5" t="s">
        <v>456</v>
      </c>
      <c r="C243" s="5" t="s">
        <v>457</v>
      </c>
      <c r="D243" s="5"/>
      <c r="E243" s="5"/>
      <c r="F243" s="5"/>
      <c r="G243" s="5"/>
      <c r="H243" s="13"/>
      <c r="I243" s="13"/>
      <c r="J243" s="5"/>
      <c r="K243" s="17" t="str">
        <f>HYPERLINK("file:///C:/Users/kapil/OneDrive/Desktop/CPPandScripting/CPP_Data/Striver_DSA_Handwritten_Explanations.md#problem-242-sum-of-subarray-minimums","Notes P242")</f>
        <v>Notes P242</v>
      </c>
    </row>
    <row r="244" spans="1:11" ht="34.049999999999997" customHeight="1" x14ac:dyDescent="0.3">
      <c r="A244" s="9">
        <v>243</v>
      </c>
      <c r="B244" s="10" t="s">
        <v>458</v>
      </c>
      <c r="C244" s="10" t="s">
        <v>459</v>
      </c>
      <c r="D244" s="10"/>
      <c r="E244" s="10"/>
      <c r="F244" s="10"/>
      <c r="G244" s="10"/>
      <c r="H244" s="11"/>
      <c r="I244" s="11"/>
      <c r="J244" s="10"/>
      <c r="K244" s="16" t="str">
        <f>HYPERLINK("file:///C:/Users/kapil/OneDrive/Desktop/CPPandScripting/CPP_Data/Striver_DSA_Handwritten_Explanations.md#problem-243-asteroid-collision","Notes P243")</f>
        <v>Notes P243</v>
      </c>
    </row>
    <row r="245" spans="1:11" ht="34.049999999999997" customHeight="1" x14ac:dyDescent="0.3">
      <c r="A245" s="12">
        <v>244</v>
      </c>
      <c r="B245" s="5" t="s">
        <v>460</v>
      </c>
      <c r="C245" s="5" t="s">
        <v>461</v>
      </c>
      <c r="D245" s="5"/>
      <c r="E245" s="5"/>
      <c r="F245" s="5"/>
      <c r="G245" s="5"/>
      <c r="H245" s="13"/>
      <c r="I245" s="13"/>
      <c r="J245" s="5"/>
      <c r="K245" s="17" t="str">
        <f>HYPERLINK("file:///C:/Users/kapil/OneDrive/Desktop/CPPandScripting/CPP_Data/Striver_DSA_Handwritten_Explanations.md#problem-244-sum-of-subarray-ranges","Notes P244")</f>
        <v>Notes P244</v>
      </c>
    </row>
    <row r="246" spans="1:11" ht="34.049999999999997" customHeight="1" x14ac:dyDescent="0.3">
      <c r="A246" s="9">
        <v>245</v>
      </c>
      <c r="B246" s="10" t="s">
        <v>462</v>
      </c>
      <c r="C246" s="10" t="s">
        <v>463</v>
      </c>
      <c r="D246" s="10"/>
      <c r="E246" s="10"/>
      <c r="F246" s="10"/>
      <c r="G246" s="10"/>
      <c r="H246" s="11"/>
      <c r="I246" s="11"/>
      <c r="J246" s="10"/>
      <c r="K246" s="16" t="str">
        <f>HYPERLINK("file:///C:/Users/kapil/OneDrive/Desktop/CPPandScripting/CPP_Data/Striver_DSA_Handwritten_Explanations.md#problem-245-remove-k-digits","Notes P245")</f>
        <v>Notes P245</v>
      </c>
    </row>
    <row r="247" spans="1:11" ht="34.049999999999997" customHeight="1" x14ac:dyDescent="0.3">
      <c r="A247" s="12">
        <v>246</v>
      </c>
      <c r="B247" s="5" t="s">
        <v>464</v>
      </c>
      <c r="C247" s="5" t="s">
        <v>465</v>
      </c>
      <c r="D247" s="5" t="s">
        <v>953</v>
      </c>
      <c r="E247" s="5"/>
      <c r="F247" s="5"/>
      <c r="G247" s="5"/>
      <c r="H247" s="13"/>
      <c r="I247" s="13"/>
      <c r="J247" s="5"/>
      <c r="K247" s="17" t="str">
        <f>HYPERLINK("file:///C:/Users/kapil/OneDrive/Desktop/CPPandScripting/CPP_Data/Striver_DSA_Handwritten_Explanations.md#problem-246-largest-rectangle-in-a-histogram","Notes P246")</f>
        <v>Notes P246</v>
      </c>
    </row>
    <row r="248" spans="1:11" ht="34.049999999999997" customHeight="1" x14ac:dyDescent="0.3">
      <c r="A248" s="9">
        <v>247</v>
      </c>
      <c r="B248" s="10" t="s">
        <v>466</v>
      </c>
      <c r="C248" s="10" t="s">
        <v>467</v>
      </c>
      <c r="D248" s="10"/>
      <c r="E248" s="10"/>
      <c r="F248" s="10"/>
      <c r="G248" s="10"/>
      <c r="H248" s="11"/>
      <c r="I248" s="11"/>
      <c r="J248" s="10"/>
      <c r="K248" s="16" t="str">
        <f>HYPERLINK("file:///C:/Users/kapil/OneDrive/Desktop/CPPandScripting/CPP_Data/Striver_DSA_Handwritten_Explanations.md#problem-247-maximum-rectangles","Notes P247")</f>
        <v>Notes P247</v>
      </c>
    </row>
    <row r="249" spans="1:11" ht="34.049999999999997" customHeight="1" x14ac:dyDescent="0.3">
      <c r="A249" s="12">
        <v>248</v>
      </c>
      <c r="B249" s="5" t="s">
        <v>468</v>
      </c>
      <c r="C249" s="5" t="s">
        <v>469</v>
      </c>
      <c r="D249" s="5" t="s">
        <v>954</v>
      </c>
      <c r="E249" s="5"/>
      <c r="F249" s="5"/>
      <c r="G249" s="5"/>
      <c r="H249" s="13"/>
      <c r="I249" s="13"/>
      <c r="J249" s="5"/>
      <c r="K249" s="17" t="str">
        <f>HYPERLINK("file:///C:/Users/kapil/OneDrive/Desktop/CPPandScripting/CPP_Data/Striver_DSA_Handwritten_Explanations.md#problem-248-sliding-window-maximum","Notes P248")</f>
        <v>Notes P248</v>
      </c>
    </row>
    <row r="250" spans="1:11" ht="34.049999999999997" customHeight="1" x14ac:dyDescent="0.3">
      <c r="A250" s="9">
        <v>249</v>
      </c>
      <c r="B250" s="10" t="s">
        <v>470</v>
      </c>
      <c r="C250" s="10" t="s">
        <v>471</v>
      </c>
      <c r="D250" s="10" t="s">
        <v>955</v>
      </c>
      <c r="E250" s="10"/>
      <c r="F250" s="10"/>
      <c r="G250" s="10"/>
      <c r="H250" s="11"/>
      <c r="I250" s="11"/>
      <c r="J250" s="10"/>
      <c r="K250" s="16" t="str">
        <f>HYPERLINK("file:///C:/Users/kapil/OneDrive/Desktop/CPPandScripting/CPP_Data/Striver_DSA_Handwritten_Explanations.md#problem-249-stock-span-problem","Notes P249")</f>
        <v>Notes P249</v>
      </c>
    </row>
    <row r="251" spans="1:11" ht="34.049999999999997" customHeight="1" x14ac:dyDescent="0.3">
      <c r="A251" s="12">
        <v>250</v>
      </c>
      <c r="B251" s="5" t="s">
        <v>472</v>
      </c>
      <c r="C251" s="5" t="s">
        <v>473</v>
      </c>
      <c r="D251" s="5" t="s">
        <v>956</v>
      </c>
      <c r="E251" s="5"/>
      <c r="F251" s="5"/>
      <c r="G251" s="5"/>
      <c r="H251" s="13"/>
      <c r="I251" s="13"/>
      <c r="J251" s="5"/>
      <c r="K251" s="17" t="str">
        <f>HYPERLINK("file:///C:/Users/kapil/OneDrive/Desktop/CPPandScripting/CPP_Data/Striver_DSA_Handwritten_Explanations.md#problem-250-celebrity-problem","Notes P250")</f>
        <v>Notes P250</v>
      </c>
    </row>
    <row r="252" spans="1:11" ht="34.049999999999997" customHeight="1" x14ac:dyDescent="0.3">
      <c r="A252" s="9">
        <v>251</v>
      </c>
      <c r="B252" s="10" t="s">
        <v>474</v>
      </c>
      <c r="C252" s="10" t="s">
        <v>475</v>
      </c>
      <c r="D252" s="10" t="s">
        <v>957</v>
      </c>
      <c r="E252" s="10"/>
      <c r="F252" s="10"/>
      <c r="G252" s="10"/>
      <c r="H252" s="11"/>
      <c r="I252" s="11"/>
      <c r="J252" s="10"/>
      <c r="K252" s="16" t="str">
        <f>HYPERLINK("file:///C:/Users/kapil/OneDrive/Desktop/CPPandScripting/CPP_Data/Striver_DSA_Handwritten_Explanations.md#problem-251-lru-cache","Notes P251")</f>
        <v>Notes P251</v>
      </c>
    </row>
    <row r="253" spans="1:11" ht="34.049999999999997" customHeight="1" x14ac:dyDescent="0.3">
      <c r="A253" s="12">
        <v>252</v>
      </c>
      <c r="B253" s="5" t="s">
        <v>476</v>
      </c>
      <c r="C253" s="5" t="s">
        <v>477</v>
      </c>
      <c r="D253" s="5"/>
      <c r="E253" s="5"/>
      <c r="F253" s="5"/>
      <c r="G253" s="5"/>
      <c r="H253" s="13"/>
      <c r="I253" s="13"/>
      <c r="J253" s="5"/>
      <c r="K253" s="17" t="str">
        <f>HYPERLINK("file:///C:/Users/kapil/OneDrive/Desktop/CPPandScripting/CPP_Data/Striver_DSA_Handwritten_Explanations.md#problem-252-lfu-cache","Notes P252")</f>
        <v>Notes P252</v>
      </c>
    </row>
    <row r="254" spans="1:11" ht="34.049999999999997" customHeight="1" x14ac:dyDescent="0.3">
      <c r="A254" s="9">
        <v>253</v>
      </c>
      <c r="B254" s="10" t="s">
        <v>478</v>
      </c>
      <c r="C254" s="10" t="s">
        <v>479</v>
      </c>
      <c r="D254" s="10"/>
      <c r="E254" s="10"/>
      <c r="F254" s="10"/>
      <c r="G254" s="10"/>
      <c r="H254" s="11"/>
      <c r="I254" s="11"/>
      <c r="J254" s="10"/>
      <c r="K254" s="16" t="str">
        <f>HYPERLINK("file:///C:/Users/kapil/OneDrive/Desktop/CPPandScripting/CPP_Data/Striver_DSA_Handwritten_Explanations.md#problem-253-longest-substring-without-repeating-characters","Notes P253")</f>
        <v>Notes P253</v>
      </c>
    </row>
    <row r="255" spans="1:11" ht="34.049999999999997" customHeight="1" x14ac:dyDescent="0.3">
      <c r="A255" s="12">
        <v>254</v>
      </c>
      <c r="B255" s="5" t="s">
        <v>480</v>
      </c>
      <c r="C255" s="5" t="s">
        <v>481</v>
      </c>
      <c r="D255" s="5"/>
      <c r="E255" s="5"/>
      <c r="F255" s="5"/>
      <c r="G255" s="5"/>
      <c r="H255" s="13"/>
      <c r="I255" s="13"/>
      <c r="J255" s="5"/>
      <c r="K255" s="17" t="str">
        <f>HYPERLINK("file:///C:/Users/kapil/OneDrive/Desktop/CPPandScripting/CPP_Data/Striver_DSA_Handwritten_Explanations.md#problem-254-max-consecutive-ones-iii","Notes P254")</f>
        <v>Notes P254</v>
      </c>
    </row>
    <row r="256" spans="1:11" ht="34.049999999999997" customHeight="1" x14ac:dyDescent="0.3">
      <c r="A256" s="9">
        <v>255</v>
      </c>
      <c r="B256" s="10" t="s">
        <v>482</v>
      </c>
      <c r="C256" s="10" t="s">
        <v>483</v>
      </c>
      <c r="D256" s="10"/>
      <c r="E256" s="10"/>
      <c r="F256" s="10"/>
      <c r="G256" s="10"/>
      <c r="H256" s="11"/>
      <c r="I256" s="11"/>
      <c r="J256" s="10"/>
      <c r="K256" s="16" t="str">
        <f>HYPERLINK("file:///C:/Users/kapil/OneDrive/Desktop/CPPandScripting/CPP_Data/Striver_DSA_Handwritten_Explanations.md#problem-255-fruit-into-baskets","Notes P255")</f>
        <v>Notes P255</v>
      </c>
    </row>
    <row r="257" spans="1:11" ht="34.049999999999997" customHeight="1" x14ac:dyDescent="0.3">
      <c r="A257" s="12">
        <v>256</v>
      </c>
      <c r="B257" s="5" t="s">
        <v>484</v>
      </c>
      <c r="C257" s="5" t="s">
        <v>485</v>
      </c>
      <c r="D257" s="5"/>
      <c r="E257" s="5"/>
      <c r="F257" s="5"/>
      <c r="G257" s="5"/>
      <c r="H257" s="13"/>
      <c r="I257" s="13"/>
      <c r="J257" s="5"/>
      <c r="K257" s="17" t="str">
        <f>HYPERLINK("file:///C:/Users/kapil/OneDrive/Desktop/CPPandScripting/CPP_Data/Striver_DSA_Handwritten_Explanations.md#problem-256-longest-repeating-character-replacement","Notes P256")</f>
        <v>Notes P256</v>
      </c>
    </row>
    <row r="258" spans="1:11" ht="34.049999999999997" customHeight="1" x14ac:dyDescent="0.3">
      <c r="A258" s="9">
        <v>257</v>
      </c>
      <c r="B258" s="10" t="s">
        <v>486</v>
      </c>
      <c r="C258" s="10" t="s">
        <v>487</v>
      </c>
      <c r="D258" s="10"/>
      <c r="E258" s="10"/>
      <c r="F258" s="10"/>
      <c r="G258" s="10"/>
      <c r="H258" s="11"/>
      <c r="I258" s="11"/>
      <c r="J258" s="10"/>
      <c r="K258" s="16" t="str">
        <f>HYPERLINK("file:///C:/Users/kapil/OneDrive/Desktop/CPPandScripting/CPP_Data/Striver_DSA_Handwritten_Explanations.md#problem-257-binary-subarrays-with-sum","Notes P257")</f>
        <v>Notes P257</v>
      </c>
    </row>
    <row r="259" spans="1:11" ht="34.049999999999997" customHeight="1" x14ac:dyDescent="0.3">
      <c r="A259" s="12">
        <v>258</v>
      </c>
      <c r="B259" s="5" t="s">
        <v>488</v>
      </c>
      <c r="C259" s="5" t="s">
        <v>489</v>
      </c>
      <c r="D259" s="5"/>
      <c r="E259" s="5"/>
      <c r="F259" s="5"/>
      <c r="G259" s="5"/>
      <c r="H259" s="13"/>
      <c r="I259" s="13"/>
      <c r="J259" s="5"/>
      <c r="K259" s="17" t="str">
        <f>HYPERLINK("file:///C:/Users/kapil/OneDrive/Desktop/CPPandScripting/CPP_Data/Striver_DSA_Handwritten_Explanations.md#problem-258-count-number-of-nice-subarrays","Notes P258")</f>
        <v>Notes P258</v>
      </c>
    </row>
    <row r="260" spans="1:11" ht="34.049999999999997" customHeight="1" x14ac:dyDescent="0.3">
      <c r="A260" s="9">
        <v>259</v>
      </c>
      <c r="B260" s="10" t="s">
        <v>490</v>
      </c>
      <c r="C260" s="10" t="s">
        <v>491</v>
      </c>
      <c r="D260" s="10"/>
      <c r="E260" s="10"/>
      <c r="F260" s="10"/>
      <c r="G260" s="10"/>
      <c r="H260" s="11"/>
      <c r="I260" s="11"/>
      <c r="J260" s="10"/>
      <c r="K260" s="16" t="str">
        <f>HYPERLINK("file:///C:/Users/kapil/OneDrive/Desktop/CPPandScripting/CPP_Data/Striver_DSA_Handwritten_Explanations.md#problem-259-number-of-substrings-containing-all-three-characte","Notes P259")</f>
        <v>Notes P259</v>
      </c>
    </row>
    <row r="261" spans="1:11" ht="34.049999999999997" customHeight="1" x14ac:dyDescent="0.3">
      <c r="A261" s="12">
        <v>260</v>
      </c>
      <c r="B261" s="5" t="s">
        <v>492</v>
      </c>
      <c r="C261" s="5" t="s">
        <v>493</v>
      </c>
      <c r="D261" s="5"/>
      <c r="E261" s="5"/>
      <c r="F261" s="5"/>
      <c r="G261" s="5"/>
      <c r="H261" s="13"/>
      <c r="I261" s="13"/>
      <c r="J261" s="5"/>
      <c r="K261" s="17" t="str">
        <f>HYPERLINK("file:///C:/Users/kapil/OneDrive/Desktop/CPPandScripting/CPP_Data/Striver_DSA_Handwritten_Explanations.md#problem-260-maximum-points-you-can-obtain-from-cards","Notes P260")</f>
        <v>Notes P260</v>
      </c>
    </row>
    <row r="262" spans="1:11" ht="34.049999999999997" customHeight="1" x14ac:dyDescent="0.3">
      <c r="A262" s="9">
        <v>261</v>
      </c>
      <c r="B262" s="10" t="s">
        <v>494</v>
      </c>
      <c r="C262" s="10" t="s">
        <v>495</v>
      </c>
      <c r="D262" s="10"/>
      <c r="E262" s="10"/>
      <c r="F262" s="10"/>
      <c r="G262" s="10"/>
      <c r="H262" s="11"/>
      <c r="I262" s="11"/>
      <c r="J262" s="10"/>
      <c r="K262" s="16" t="str">
        <f>HYPERLINK("file:///C:/Users/kapil/OneDrive/Desktop/CPPandScripting/CPP_Data/Striver_DSA_Handwritten_Explanations.md#problem-261-longest-substring-with-at-most-k-distinct-characte","Notes P261")</f>
        <v>Notes P261</v>
      </c>
    </row>
    <row r="263" spans="1:11" ht="34.049999999999997" customHeight="1" x14ac:dyDescent="0.3">
      <c r="A263" s="12">
        <v>262</v>
      </c>
      <c r="B263" s="5" t="s">
        <v>496</v>
      </c>
      <c r="C263" s="5" t="s">
        <v>497</v>
      </c>
      <c r="D263" s="5"/>
      <c r="E263" s="5"/>
      <c r="F263" s="5"/>
      <c r="G263" s="5"/>
      <c r="H263" s="13"/>
      <c r="I263" s="13"/>
      <c r="J263" s="5"/>
      <c r="K263" s="17" t="str">
        <f>HYPERLINK("file:///C:/Users/kapil/OneDrive/Desktop/CPPandScripting/CPP_Data/Striver_DSA_Handwritten_Explanations.md#problem-262-subarrays-with-k-different-integers","Notes P262")</f>
        <v>Notes P262</v>
      </c>
    </row>
    <row r="264" spans="1:11" ht="34.049999999999997" customHeight="1" x14ac:dyDescent="0.3">
      <c r="A264" s="9">
        <v>263</v>
      </c>
      <c r="B264" s="10" t="s">
        <v>498</v>
      </c>
      <c r="C264" s="10" t="s">
        <v>499</v>
      </c>
      <c r="D264" s="10"/>
      <c r="E264" s="10"/>
      <c r="F264" s="10"/>
      <c r="G264" s="10"/>
      <c r="H264" s="11"/>
      <c r="I264" s="11"/>
      <c r="J264" s="10"/>
      <c r="K264" s="16" t="str">
        <f>HYPERLINK("file:///C:/Users/kapil/OneDrive/Desktop/CPPandScripting/CPP_Data/Striver_DSA_Handwritten_Explanations.md#problem-263-minimum-window-substring","Notes P263")</f>
        <v>Notes P263</v>
      </c>
    </row>
    <row r="265" spans="1:11" ht="34.049999999999997" customHeight="1" x14ac:dyDescent="0.3">
      <c r="A265" s="12">
        <v>264</v>
      </c>
      <c r="B265" s="5" t="s">
        <v>500</v>
      </c>
      <c r="C265" s="5" t="s">
        <v>501</v>
      </c>
      <c r="D265" s="5"/>
      <c r="E265" s="5"/>
      <c r="F265" s="5"/>
      <c r="G265" s="5"/>
      <c r="H265" s="13"/>
      <c r="I265" s="13"/>
      <c r="J265" s="5"/>
      <c r="K265" s="17" t="str">
        <f>HYPERLINK("file:///C:/Users/kapil/OneDrive/Desktop/CPPandScripting/CPP_Data/Striver_DSA_Handwritten_Explanations.md#problem-264-minimum-window-subsequence","Notes P264")</f>
        <v>Notes P264</v>
      </c>
    </row>
    <row r="266" spans="1:11" ht="34.049999999999997" customHeight="1" x14ac:dyDescent="0.3">
      <c r="A266" s="9">
        <v>265</v>
      </c>
      <c r="B266" s="10" t="s">
        <v>502</v>
      </c>
      <c r="C266" s="10" t="s">
        <v>503</v>
      </c>
      <c r="D266" s="10"/>
      <c r="E266" s="10"/>
      <c r="F266" s="10"/>
      <c r="G266" s="10"/>
      <c r="H266" s="11"/>
      <c r="I266" s="11"/>
      <c r="J266" s="10"/>
      <c r="K266" s="16" t="str">
        <f>HYPERLINK("file:///C:/Users/kapil/OneDrive/Desktop/CPPandScripting/CPP_Data/Striver_DSA_Handwritten_Explanations.md#problem-265-heaps-theory-video","Notes P265")</f>
        <v>Notes P265</v>
      </c>
    </row>
    <row r="267" spans="1:11" ht="34.049999999999997" customHeight="1" x14ac:dyDescent="0.3">
      <c r="A267" s="12">
        <v>266</v>
      </c>
      <c r="B267" s="5" t="s">
        <v>504</v>
      </c>
      <c r="C267" s="5" t="s">
        <v>505</v>
      </c>
      <c r="D267" s="5"/>
      <c r="E267" s="5"/>
      <c r="F267" s="5"/>
      <c r="G267" s="5"/>
      <c r="H267" s="13"/>
      <c r="I267" s="13"/>
      <c r="J267" s="5"/>
      <c r="K267" s="17" t="str">
        <f>HYPERLINK("file:///C:/Users/kapil/OneDrive/Desktop/CPPandScripting/CPP_Data/Striver_DSA_Handwritten_Explanations.md#problem-266-implement-min-heap","Notes P266")</f>
        <v>Notes P266</v>
      </c>
    </row>
    <row r="268" spans="1:11" ht="34.049999999999997" customHeight="1" x14ac:dyDescent="0.3">
      <c r="A268" s="9">
        <v>267</v>
      </c>
      <c r="B268" s="10" t="s">
        <v>506</v>
      </c>
      <c r="C268" s="10" t="s">
        <v>507</v>
      </c>
      <c r="D268" s="10"/>
      <c r="E268" s="10"/>
      <c r="F268" s="10"/>
      <c r="G268" s="10"/>
      <c r="H268" s="11"/>
      <c r="I268" s="11"/>
      <c r="J268" s="10"/>
      <c r="K268" s="16" t="str">
        <f>HYPERLINK("file:///C:/Users/kapil/OneDrive/Desktop/CPPandScripting/CPP_Data/Striver_DSA_Handwritten_Explanations.md#problem-267-check-if-an-array-represents-a-min-heap","Notes P267")</f>
        <v>Notes P267</v>
      </c>
    </row>
    <row r="269" spans="1:11" ht="34.049999999999997" customHeight="1" x14ac:dyDescent="0.3">
      <c r="A269" s="12">
        <v>268</v>
      </c>
      <c r="B269" s="5" t="s">
        <v>508</v>
      </c>
      <c r="C269" s="5" t="s">
        <v>509</v>
      </c>
      <c r="D269" s="5"/>
      <c r="E269" s="5"/>
      <c r="F269" s="5"/>
      <c r="G269" s="5"/>
      <c r="H269" s="13"/>
      <c r="I269" s="13"/>
      <c r="J269" s="5"/>
      <c r="K269" s="17" t="str">
        <f>HYPERLINK("file:///C:/Users/kapil/OneDrive/Desktop/CPPandScripting/CPP_Data/Striver_DSA_Handwritten_Explanations.md#problem-268-convert-min-heap-to-max-heap","Notes P268")</f>
        <v>Notes P268</v>
      </c>
    </row>
    <row r="270" spans="1:11" ht="34.049999999999997" customHeight="1" x14ac:dyDescent="0.3">
      <c r="A270" s="9">
        <v>269</v>
      </c>
      <c r="B270" s="10" t="s">
        <v>510</v>
      </c>
      <c r="C270" s="10" t="s">
        <v>511</v>
      </c>
      <c r="D270" s="10"/>
      <c r="E270" s="10"/>
      <c r="F270" s="10"/>
      <c r="G270" s="10"/>
      <c r="H270" s="11"/>
      <c r="I270" s="11"/>
      <c r="J270" s="10"/>
      <c r="K270" s="16" t="str">
        <f>HYPERLINK("file:///C:/Users/kapil/OneDrive/Desktop/CPPandScripting/CPP_Data/Striver_DSA_Handwritten_Explanations.md#problem-269-k-th-largest-element-in-an-array","Notes P269")</f>
        <v>Notes P269</v>
      </c>
    </row>
    <row r="271" spans="1:11" ht="34.049999999999997" customHeight="1" x14ac:dyDescent="0.3">
      <c r="A271" s="12">
        <v>270</v>
      </c>
      <c r="B271" s="5" t="s">
        <v>512</v>
      </c>
      <c r="C271" s="5" t="s">
        <v>511</v>
      </c>
      <c r="D271" s="5"/>
      <c r="E271" s="5"/>
      <c r="F271" s="5"/>
      <c r="G271" s="5"/>
      <c r="H271" s="13"/>
      <c r="I271" s="13"/>
      <c r="J271" s="5"/>
      <c r="K271" s="17" t="str">
        <f>HYPERLINK("file:///C:/Users/kapil/OneDrive/Desktop/CPPandScripting/CPP_Data/Striver_DSA_Handwritten_Explanations.md#problem-270-kth-smallest-element-in-an-array-use-priority-queu","Notes P270")</f>
        <v>Notes P270</v>
      </c>
    </row>
    <row r="272" spans="1:11" ht="34.049999999999997" customHeight="1" x14ac:dyDescent="0.3">
      <c r="A272" s="9">
        <v>271</v>
      </c>
      <c r="B272" s="10" t="s">
        <v>513</v>
      </c>
      <c r="C272" s="10" t="s">
        <v>514</v>
      </c>
      <c r="D272" s="10"/>
      <c r="E272" s="10"/>
      <c r="F272" s="10"/>
      <c r="G272" s="10"/>
      <c r="H272" s="11"/>
      <c r="I272" s="11"/>
      <c r="J272" s="10"/>
      <c r="K272" s="16" t="str">
        <f>HYPERLINK("file:///C:/Users/kapil/OneDrive/Desktop/CPPandScripting/CPP_Data/Striver_DSA_Handwritten_Explanations.md#problem-271-sort-k-sorted-array","Notes P271")</f>
        <v>Notes P271</v>
      </c>
    </row>
    <row r="273" spans="1:11" ht="34.049999999999997" customHeight="1" x14ac:dyDescent="0.3">
      <c r="A273" s="12">
        <v>272</v>
      </c>
      <c r="B273" s="5" t="s">
        <v>515</v>
      </c>
      <c r="C273" s="5" t="s">
        <v>516</v>
      </c>
      <c r="D273" s="5"/>
      <c r="E273" s="5"/>
      <c r="F273" s="5"/>
      <c r="G273" s="5"/>
      <c r="H273" s="13"/>
      <c r="I273" s="13"/>
      <c r="J273" s="5"/>
      <c r="K273" s="17" t="str">
        <f>HYPERLINK("file:///C:/Users/kapil/OneDrive/Desktop/CPPandScripting/CPP_Data/Striver_DSA_Handwritten_Explanations.md#problem-272-merge-k-sorted-lists","Notes P272")</f>
        <v>Notes P272</v>
      </c>
    </row>
    <row r="274" spans="1:11" ht="34.049999999999997" customHeight="1" x14ac:dyDescent="0.3">
      <c r="A274" s="9">
        <v>273</v>
      </c>
      <c r="B274" s="10" t="s">
        <v>517</v>
      </c>
      <c r="C274" s="10" t="s">
        <v>518</v>
      </c>
      <c r="D274" s="10"/>
      <c r="E274" s="10"/>
      <c r="F274" s="10"/>
      <c r="G274" s="10"/>
      <c r="H274" s="11"/>
      <c r="I274" s="11"/>
      <c r="J274" s="10"/>
      <c r="K274" s="16" t="str">
        <f>HYPERLINK("file:///C:/Users/kapil/OneDrive/Desktop/CPPandScripting/CPP_Data/Striver_DSA_Handwritten_Explanations.md#problem-273-replace-elements-by-their-rank","Notes P273")</f>
        <v>Notes P273</v>
      </c>
    </row>
    <row r="275" spans="1:11" ht="34.049999999999997" customHeight="1" x14ac:dyDescent="0.3">
      <c r="A275" s="12">
        <v>274</v>
      </c>
      <c r="B275" s="5" t="s">
        <v>519</v>
      </c>
      <c r="C275" s="5" t="s">
        <v>520</v>
      </c>
      <c r="D275" s="5"/>
      <c r="E275" s="5"/>
      <c r="F275" s="5"/>
      <c r="G275" s="5"/>
      <c r="H275" s="13"/>
      <c r="I275" s="13"/>
      <c r="J275" s="5"/>
      <c r="K275" s="17" t="str">
        <f>HYPERLINK("file:///C:/Users/kapil/OneDrive/Desktop/CPPandScripting/CPP_Data/Striver_DSA_Handwritten_Explanations.md#problem-274-task-scheduler","Notes P274")</f>
        <v>Notes P274</v>
      </c>
    </row>
    <row r="276" spans="1:11" ht="34.049999999999997" customHeight="1" x14ac:dyDescent="0.3">
      <c r="A276" s="9">
        <v>275</v>
      </c>
      <c r="B276" s="10" t="s">
        <v>521</v>
      </c>
      <c r="C276" s="10" t="s">
        <v>522</v>
      </c>
      <c r="D276" s="10"/>
      <c r="E276" s="10"/>
      <c r="F276" s="10"/>
      <c r="G276" s="10"/>
      <c r="H276" s="11"/>
      <c r="I276" s="11"/>
      <c r="J276" s="10"/>
      <c r="K276" s="16" t="str">
        <f>HYPERLINK("file:///C:/Users/kapil/OneDrive/Desktop/CPPandScripting/CPP_Data/Striver_DSA_Handwritten_Explanations.md#problem-275-hand-of-straights","Notes P275")</f>
        <v>Notes P275</v>
      </c>
    </row>
    <row r="277" spans="1:11" ht="34.049999999999997" customHeight="1" x14ac:dyDescent="0.3">
      <c r="A277" s="12">
        <v>276</v>
      </c>
      <c r="B277" s="5" t="s">
        <v>523</v>
      </c>
      <c r="C277" s="5" t="s">
        <v>524</v>
      </c>
      <c r="D277" s="5"/>
      <c r="E277" s="5"/>
      <c r="F277" s="5"/>
      <c r="G277" s="5"/>
      <c r="H277" s="13"/>
      <c r="I277" s="13"/>
      <c r="J277" s="5"/>
      <c r="K277" s="17" t="str">
        <f>HYPERLINK("file:///C:/Users/kapil/OneDrive/Desktop/CPPandScripting/CPP_Data/Striver_DSA_Handwritten_Explanations.md#problem-276-design-twitter","Notes P276")</f>
        <v>Notes P276</v>
      </c>
    </row>
    <row r="278" spans="1:11" ht="34.049999999999997" customHeight="1" x14ac:dyDescent="0.3">
      <c r="A278" s="9">
        <v>277</v>
      </c>
      <c r="B278" s="10" t="s">
        <v>525</v>
      </c>
      <c r="C278" s="10" t="s">
        <v>526</v>
      </c>
      <c r="D278" s="10"/>
      <c r="E278" s="10"/>
      <c r="F278" s="10"/>
      <c r="G278" s="10"/>
      <c r="H278" s="11"/>
      <c r="I278" s="11"/>
      <c r="J278" s="10"/>
      <c r="K278" s="16" t="str">
        <f>HYPERLINK("file:///C:/Users/kapil/OneDrive/Desktop/CPPandScripting/CPP_Data/Striver_DSA_Handwritten_Explanations.md#problem-277-minimum-cost-to-connect-sticks","Notes P277")</f>
        <v>Notes P277</v>
      </c>
    </row>
    <row r="279" spans="1:11" ht="34.049999999999997" customHeight="1" x14ac:dyDescent="0.3">
      <c r="A279" s="12">
        <v>278</v>
      </c>
      <c r="B279" s="5" t="s">
        <v>527</v>
      </c>
      <c r="C279" s="5" t="s">
        <v>528</v>
      </c>
      <c r="D279" s="5"/>
      <c r="E279" s="5"/>
      <c r="F279" s="5"/>
      <c r="G279" s="5"/>
      <c r="H279" s="13"/>
      <c r="I279" s="13"/>
      <c r="J279" s="5"/>
      <c r="K279" s="17" t="str">
        <f>HYPERLINK("file:///C:/Users/kapil/OneDrive/Desktop/CPPandScripting/CPP_Data/Striver_DSA_Handwritten_Explanations.md#problem-278-kth-largest-element-in-a-stream-of-running-integer","Notes P278")</f>
        <v>Notes P278</v>
      </c>
    </row>
    <row r="280" spans="1:11" ht="34.049999999999997" customHeight="1" x14ac:dyDescent="0.3">
      <c r="A280" s="9">
        <v>279</v>
      </c>
      <c r="B280" s="10" t="s">
        <v>529</v>
      </c>
      <c r="C280" s="10" t="s">
        <v>530</v>
      </c>
      <c r="D280" s="10"/>
      <c r="E280" s="10"/>
      <c r="F280" s="10"/>
      <c r="G280" s="10"/>
      <c r="H280" s="11"/>
      <c r="I280" s="11"/>
      <c r="J280" s="10"/>
      <c r="K280" s="16" t="str">
        <f>HYPERLINK("file:///C:/Users/kapil/OneDrive/Desktop/CPPandScripting/CPP_Data/Striver_DSA_Handwritten_Explanations.md#problem-279-maximum-sum-combination","Notes P279")</f>
        <v>Notes P279</v>
      </c>
    </row>
    <row r="281" spans="1:11" ht="34.049999999999997" customHeight="1" x14ac:dyDescent="0.3">
      <c r="A281" s="12">
        <v>280</v>
      </c>
      <c r="B281" s="5" t="s">
        <v>531</v>
      </c>
      <c r="C281" s="5" t="s">
        <v>532</v>
      </c>
      <c r="D281" s="5"/>
      <c r="E281" s="5"/>
      <c r="F281" s="5"/>
      <c r="G281" s="5"/>
      <c r="H281" s="13"/>
      <c r="I281" s="13"/>
      <c r="J281" s="5"/>
      <c r="K281" s="17" t="str">
        <f>HYPERLINK("file:///C:/Users/kapil/OneDrive/Desktop/CPPandScripting/CPP_Data/Striver_DSA_Handwritten_Explanations.md#problem-280-find-median-from-data-stream","Notes P280")</f>
        <v>Notes P280</v>
      </c>
    </row>
    <row r="282" spans="1:11" ht="34.049999999999997" customHeight="1" x14ac:dyDescent="0.3">
      <c r="A282" s="9">
        <v>281</v>
      </c>
      <c r="B282" s="10" t="s">
        <v>533</v>
      </c>
      <c r="C282" s="10" t="s">
        <v>534</v>
      </c>
      <c r="D282" s="10"/>
      <c r="E282" s="10"/>
      <c r="F282" s="10"/>
      <c r="G282" s="10"/>
      <c r="H282" s="11"/>
      <c r="I282" s="11"/>
      <c r="J282" s="10"/>
      <c r="K282" s="16" t="str">
        <f>HYPERLINK("file:///C:/Users/kapil/OneDrive/Desktop/CPPandScripting/CPP_Data/Striver_DSA_Handwritten_Explanations.md#problem-281-top-k-frequent-elements","Notes P281")</f>
        <v>Notes P281</v>
      </c>
    </row>
    <row r="283" spans="1:11" ht="34.049999999999997" customHeight="1" x14ac:dyDescent="0.3">
      <c r="A283" s="12">
        <v>282</v>
      </c>
      <c r="B283" s="5" t="s">
        <v>535</v>
      </c>
      <c r="C283" s="5" t="s">
        <v>536</v>
      </c>
      <c r="D283" s="5"/>
      <c r="E283" s="5"/>
      <c r="F283" s="5"/>
      <c r="G283" s="5"/>
      <c r="H283" s="13"/>
      <c r="I283" s="13"/>
      <c r="J283" s="5"/>
      <c r="K283" s="17" t="str">
        <f>HYPERLINK("file:///C:/Users/kapil/OneDrive/Desktop/CPPandScripting/CPP_Data/Striver_DSA_Handwritten_Explanations.md#problem-282-assign-cookies","Notes P282")</f>
        <v>Notes P282</v>
      </c>
    </row>
    <row r="284" spans="1:11" ht="34.049999999999997" customHeight="1" x14ac:dyDescent="0.3">
      <c r="A284" s="9">
        <v>283</v>
      </c>
      <c r="B284" s="10" t="s">
        <v>537</v>
      </c>
      <c r="C284" s="10" t="s">
        <v>538</v>
      </c>
      <c r="D284" s="10"/>
      <c r="E284" s="10"/>
      <c r="F284" s="10"/>
      <c r="G284" s="10"/>
      <c r="H284" s="11"/>
      <c r="I284" s="11"/>
      <c r="J284" s="10"/>
      <c r="K284" s="16" t="str">
        <f>HYPERLINK("file:///C:/Users/kapil/OneDrive/Desktop/CPPandScripting/CPP_Data/Striver_DSA_Handwritten_Explanations.md#problem-283-fractional-knapsack","Notes P283")</f>
        <v>Notes P283</v>
      </c>
    </row>
    <row r="285" spans="1:11" ht="34.049999999999997" customHeight="1" x14ac:dyDescent="0.3">
      <c r="A285" s="12">
        <v>284</v>
      </c>
      <c r="B285" s="5" t="s">
        <v>539</v>
      </c>
      <c r="C285" s="5" t="s">
        <v>540</v>
      </c>
      <c r="D285" s="5"/>
      <c r="E285" s="5"/>
      <c r="F285" s="5"/>
      <c r="G285" s="5"/>
      <c r="H285" s="13"/>
      <c r="I285" s="13"/>
      <c r="J285" s="5"/>
      <c r="K285" s="17" t="str">
        <f>HYPERLINK("file:///C:/Users/kapil/OneDrive/Desktop/CPPandScripting/CPP_Data/Striver_DSA_Handwritten_Explanations.md#problem-284-lemonade-change","Notes P284")</f>
        <v>Notes P284</v>
      </c>
    </row>
    <row r="286" spans="1:11" ht="34.049999999999997" customHeight="1" x14ac:dyDescent="0.3">
      <c r="A286" s="9">
        <v>285</v>
      </c>
      <c r="B286" s="10" t="s">
        <v>541</v>
      </c>
      <c r="C286" s="10" t="s">
        <v>542</v>
      </c>
      <c r="D286" s="10"/>
      <c r="E286" s="10"/>
      <c r="F286" s="10"/>
      <c r="G286" s="10"/>
      <c r="H286" s="11"/>
      <c r="I286" s="11"/>
      <c r="J286" s="10"/>
      <c r="K286" s="16" t="str">
        <f>HYPERLINK("file:///C:/Users/kapil/OneDrive/Desktop/CPPandScripting/CPP_Data/Striver_DSA_Handwritten_Explanations.md#problem-285-valid-paranthesis-checker","Notes P285")</f>
        <v>Notes P285</v>
      </c>
    </row>
    <row r="287" spans="1:11" ht="34.049999999999997" customHeight="1" x14ac:dyDescent="0.3">
      <c r="A287" s="12">
        <v>286</v>
      </c>
      <c r="B287" s="5" t="s">
        <v>543</v>
      </c>
      <c r="C287" s="5" t="s">
        <v>544</v>
      </c>
      <c r="D287" s="5"/>
      <c r="E287" s="5"/>
      <c r="F287" s="5"/>
      <c r="G287" s="5"/>
      <c r="H287" s="13"/>
      <c r="I287" s="13"/>
      <c r="J287" s="5"/>
      <c r="K287" s="17" t="str">
        <f>HYPERLINK("file:///C:/Users/kapil/OneDrive/Desktop/CPPandScripting/CPP_Data/Striver_DSA_Handwritten_Explanations.md#problem-286-n-meetings-in-one-room","Notes P286")</f>
        <v>Notes P286</v>
      </c>
    </row>
    <row r="288" spans="1:11" ht="34.049999999999997" customHeight="1" x14ac:dyDescent="0.3">
      <c r="A288" s="9">
        <v>287</v>
      </c>
      <c r="B288" s="10" t="s">
        <v>545</v>
      </c>
      <c r="C288" s="10" t="s">
        <v>546</v>
      </c>
      <c r="D288" s="10"/>
      <c r="E288" s="10"/>
      <c r="F288" s="10"/>
      <c r="G288" s="10"/>
      <c r="H288" s="11"/>
      <c r="I288" s="11"/>
      <c r="J288" s="10"/>
      <c r="K288" s="16" t="str">
        <f>HYPERLINK("file:///C:/Users/kapil/OneDrive/Desktop/CPPandScripting/CPP_Data/Striver_DSA_Handwritten_Explanations.md#problem-287-jump-game-i","Notes P287")</f>
        <v>Notes P287</v>
      </c>
    </row>
    <row r="289" spans="1:11" ht="34.049999999999997" customHeight="1" x14ac:dyDescent="0.3">
      <c r="A289" s="12">
        <v>288</v>
      </c>
      <c r="B289" s="5" t="s">
        <v>547</v>
      </c>
      <c r="C289" s="5" t="s">
        <v>548</v>
      </c>
      <c r="D289" s="5"/>
      <c r="E289" s="5"/>
      <c r="F289" s="5"/>
      <c r="G289" s="5"/>
      <c r="H289" s="13"/>
      <c r="I289" s="13"/>
      <c r="J289" s="5"/>
      <c r="K289" s="17" t="str">
        <f>HYPERLINK("file:///C:/Users/kapil/OneDrive/Desktop/CPPandScripting/CPP_Data/Striver_DSA_Handwritten_Explanations.md#problem-288-jump-game-ii","Notes P288")</f>
        <v>Notes P288</v>
      </c>
    </row>
    <row r="290" spans="1:11" ht="34.049999999999997" customHeight="1" x14ac:dyDescent="0.3">
      <c r="A290" s="9">
        <v>289</v>
      </c>
      <c r="B290" s="10" t="s">
        <v>549</v>
      </c>
      <c r="C290" s="10" t="s">
        <v>550</v>
      </c>
      <c r="D290" s="10"/>
      <c r="E290" s="10"/>
      <c r="F290" s="10"/>
      <c r="G290" s="10"/>
      <c r="H290" s="11"/>
      <c r="I290" s="11"/>
      <c r="J290" s="10"/>
      <c r="K290" s="16" t="str">
        <f>HYPERLINK("file:///C:/Users/kapil/OneDrive/Desktop/CPPandScripting/CPP_Data/Striver_DSA_Handwritten_Explanations.md#problem-289-minimum-number-of-platforms-required-for-a-railway","Notes P289")</f>
        <v>Notes P289</v>
      </c>
    </row>
    <row r="291" spans="1:11" ht="34.049999999999997" customHeight="1" x14ac:dyDescent="0.3">
      <c r="A291" s="12">
        <v>290</v>
      </c>
      <c r="B291" s="5" t="s">
        <v>551</v>
      </c>
      <c r="C291" s="5" t="s">
        <v>552</v>
      </c>
      <c r="D291" s="5"/>
      <c r="E291" s="5"/>
      <c r="F291" s="5"/>
      <c r="G291" s="5"/>
      <c r="H291" s="13"/>
      <c r="I291" s="13"/>
      <c r="J291" s="5"/>
      <c r="K291" s="17" t="str">
        <f>HYPERLINK("file:///C:/Users/kapil/OneDrive/Desktop/CPPandScripting/CPP_Data/Striver_DSA_Handwritten_Explanations.md#problem-290-job-sequencing-problem","Notes P290")</f>
        <v>Notes P290</v>
      </c>
    </row>
    <row r="292" spans="1:11" ht="34.049999999999997" customHeight="1" x14ac:dyDescent="0.3">
      <c r="A292" s="9">
        <v>291</v>
      </c>
      <c r="B292" s="10" t="s">
        <v>553</v>
      </c>
      <c r="C292" s="10" t="s">
        <v>554</v>
      </c>
      <c r="D292" s="10"/>
      <c r="E292" s="10"/>
      <c r="F292" s="10"/>
      <c r="G292" s="10"/>
      <c r="H292" s="11"/>
      <c r="I292" s="11"/>
      <c r="J292" s="10"/>
      <c r="K292" s="16" t="str">
        <f>HYPERLINK("file:///C:/Users/kapil/OneDrive/Desktop/CPPandScripting/CPP_Data/Striver_DSA_Handwritten_Explanations.md#problem-291-candy","Notes P291")</f>
        <v>Notes P291</v>
      </c>
    </row>
    <row r="293" spans="1:11" ht="34.049999999999997" customHeight="1" x14ac:dyDescent="0.3">
      <c r="A293" s="12">
        <v>292</v>
      </c>
      <c r="B293" s="5" t="s">
        <v>555</v>
      </c>
      <c r="C293" s="5" t="s">
        <v>556</v>
      </c>
      <c r="D293" s="5"/>
      <c r="E293" s="5"/>
      <c r="F293" s="5"/>
      <c r="G293" s="5"/>
      <c r="H293" s="13"/>
      <c r="I293" s="13"/>
      <c r="J293" s="5"/>
      <c r="K293" s="17" t="str">
        <f>HYPERLINK("file:///C:/Users/kapil/OneDrive/Desktop/CPPandScripting/CPP_Data/Striver_DSA_Handwritten_Explanations.md#problem-292-shortest-job-first","Notes P292")</f>
        <v>Notes P292</v>
      </c>
    </row>
    <row r="294" spans="1:11" ht="34.049999999999997" customHeight="1" x14ac:dyDescent="0.3">
      <c r="A294" s="9">
        <v>293</v>
      </c>
      <c r="B294" s="10" t="s">
        <v>557</v>
      </c>
      <c r="C294" s="10" t="s">
        <v>475</v>
      </c>
      <c r="D294" s="10"/>
      <c r="E294" s="10"/>
      <c r="F294" s="10"/>
      <c r="G294" s="10"/>
      <c r="H294" s="11"/>
      <c r="I294" s="11"/>
      <c r="J294" s="10"/>
      <c r="K294" s="16" t="str">
        <f>HYPERLINK("file:///C:/Users/kapil/OneDrive/Desktop/CPPandScripting/CPP_Data/Striver_DSA_Handwritten_Explanations.md#problem-293-program-for-least-recently-used-lru-page-replaceme","Notes P293")</f>
        <v>Notes P293</v>
      </c>
    </row>
    <row r="295" spans="1:11" ht="34.049999999999997" customHeight="1" x14ac:dyDescent="0.3">
      <c r="A295" s="12">
        <v>294</v>
      </c>
      <c r="B295" s="5" t="s">
        <v>558</v>
      </c>
      <c r="C295" s="5" t="s">
        <v>559</v>
      </c>
      <c r="D295" s="5"/>
      <c r="E295" s="5"/>
      <c r="F295" s="5"/>
      <c r="G295" s="5"/>
      <c r="H295" s="13"/>
      <c r="I295" s="13"/>
      <c r="J295" s="5"/>
      <c r="K295" s="17" t="str">
        <f>HYPERLINK("file:///C:/Users/kapil/OneDrive/Desktop/CPPandScripting/CPP_Data/Striver_DSA_Handwritten_Explanations.md#problem-294-insert-interval","Notes P294")</f>
        <v>Notes P294</v>
      </c>
    </row>
    <row r="296" spans="1:11" ht="34.049999999999997" customHeight="1" x14ac:dyDescent="0.3">
      <c r="A296" s="9">
        <v>295</v>
      </c>
      <c r="B296" s="10" t="s">
        <v>560</v>
      </c>
      <c r="C296" s="10" t="s">
        <v>174</v>
      </c>
      <c r="D296" s="10"/>
      <c r="E296" s="10"/>
      <c r="F296" s="10"/>
      <c r="G296" s="10"/>
      <c r="H296" s="11"/>
      <c r="I296" s="11"/>
      <c r="J296" s="10"/>
      <c r="K296" s="16" t="str">
        <f>HYPERLINK("file:///C:/Users/kapil/OneDrive/Desktop/CPPandScripting/CPP_Data/Striver_DSA_Handwritten_Explanations.md#problem-295-merge-intervals","Notes P295")</f>
        <v>Notes P295</v>
      </c>
    </row>
    <row r="297" spans="1:11" ht="34.049999999999997" customHeight="1" x14ac:dyDescent="0.3">
      <c r="A297" s="12">
        <v>296</v>
      </c>
      <c r="B297" s="5" t="s">
        <v>561</v>
      </c>
      <c r="C297" s="5" t="s">
        <v>562</v>
      </c>
      <c r="D297" s="5"/>
      <c r="E297" s="5"/>
      <c r="F297" s="5"/>
      <c r="G297" s="5"/>
      <c r="H297" s="13"/>
      <c r="I297" s="13"/>
      <c r="J297" s="5"/>
      <c r="K297" s="17" t="str">
        <f>HYPERLINK("file:///C:/Users/kapil/OneDrive/Desktop/CPPandScripting/CPP_Data/Striver_DSA_Handwritten_Explanations.md#problem-296-non-overlapping-intervals","Notes P296")</f>
        <v>Notes P296</v>
      </c>
    </row>
    <row r="298" spans="1:11" ht="34.049999999999997" customHeight="1" x14ac:dyDescent="0.3">
      <c r="A298" s="9">
        <v>297</v>
      </c>
      <c r="B298" s="10" t="s">
        <v>563</v>
      </c>
      <c r="C298" s="10" t="s">
        <v>564</v>
      </c>
      <c r="D298" s="10" t="s">
        <v>958</v>
      </c>
      <c r="E298" s="10"/>
      <c r="F298" s="10"/>
      <c r="G298" s="10"/>
      <c r="H298" s="11"/>
      <c r="I298" s="11"/>
      <c r="J298" s="10"/>
      <c r="K298" s="16" t="str">
        <f>HYPERLINK("file:///C:/Users/kapil/OneDrive/Desktop/CPPandScripting/CPP_Data/Striver_DSA_Handwritten_Explanations.md#problem-297-introduction-to-trees","Notes P297")</f>
        <v>Notes P297</v>
      </c>
    </row>
    <row r="299" spans="1:11" ht="34.049999999999997" customHeight="1" x14ac:dyDescent="0.3">
      <c r="A299" s="12">
        <v>298</v>
      </c>
      <c r="B299" s="5" t="s">
        <v>565</v>
      </c>
      <c r="C299" s="5" t="s">
        <v>566</v>
      </c>
      <c r="D299" s="5"/>
      <c r="E299" s="5"/>
      <c r="F299" s="5"/>
      <c r="G299" s="5"/>
      <c r="H299" s="13"/>
      <c r="I299" s="13"/>
      <c r="J299" s="5"/>
      <c r="K299" s="17" t="str">
        <f>HYPERLINK("file:///C:/Users/kapil/OneDrive/Desktop/CPPandScripting/CPP_Data/Striver_DSA_Handwritten_Explanations.md#problem-298-binary-tree-representation-in-java","Notes P298")</f>
        <v>Notes P298</v>
      </c>
    </row>
    <row r="300" spans="1:11" ht="34.049999999999997" customHeight="1" x14ac:dyDescent="0.3">
      <c r="A300" s="9">
        <v>299</v>
      </c>
      <c r="B300" s="10" t="s">
        <v>567</v>
      </c>
      <c r="C300" s="10" t="s">
        <v>568</v>
      </c>
      <c r="D300" s="10" t="s">
        <v>958</v>
      </c>
      <c r="E300" s="10"/>
      <c r="F300" s="10"/>
      <c r="G300" s="10"/>
      <c r="H300" s="11"/>
      <c r="I300" s="11"/>
      <c r="J300" s="10"/>
      <c r="K300" s="16" t="str">
        <f>HYPERLINK("file:///C:/Users/kapil/OneDrive/Desktop/CPPandScripting/CPP_Data/Striver_DSA_Handwritten_Explanations.md#problem-299-pre-post-inorder-in-one-traversal","Notes P299")</f>
        <v>Notes P299</v>
      </c>
    </row>
    <row r="301" spans="1:11" ht="34.049999999999997" customHeight="1" x14ac:dyDescent="0.3">
      <c r="A301" s="12">
        <v>300</v>
      </c>
      <c r="B301" s="5" t="s">
        <v>569</v>
      </c>
      <c r="C301" s="5" t="s">
        <v>570</v>
      </c>
      <c r="D301" s="5" t="s">
        <v>958</v>
      </c>
      <c r="E301" s="5"/>
      <c r="F301" s="5"/>
      <c r="G301" s="5"/>
      <c r="H301" s="13"/>
      <c r="I301" s="13"/>
      <c r="J301" s="5"/>
      <c r="K301" s="17" t="str">
        <f>HYPERLINK("file:///C:/Users/kapil/OneDrive/Desktop/CPPandScripting/CPP_Data/Striver_DSA_Handwritten_Explanations.md#problem-300-preorder-traversal","Notes P300")</f>
        <v>Notes P300</v>
      </c>
    </row>
    <row r="302" spans="1:11" ht="34.049999999999997" customHeight="1" x14ac:dyDescent="0.3">
      <c r="A302" s="9">
        <v>301</v>
      </c>
      <c r="B302" s="10" t="s">
        <v>571</v>
      </c>
      <c r="C302" s="10" t="s">
        <v>572</v>
      </c>
      <c r="D302" s="10" t="s">
        <v>958</v>
      </c>
      <c r="E302" s="10"/>
      <c r="F302" s="10"/>
      <c r="G302" s="10"/>
      <c r="H302" s="11"/>
      <c r="I302" s="11"/>
      <c r="J302" s="10"/>
      <c r="K302" s="16" t="str">
        <f>HYPERLINK("file:///C:/Users/kapil/OneDrive/Desktop/CPPandScripting/CPP_Data/Striver_DSA_Handwritten_Explanations.md#problem-301-inorder-traversal-of-binary-tree","Notes P301")</f>
        <v>Notes P301</v>
      </c>
    </row>
    <row r="303" spans="1:11" ht="34.049999999999997" customHeight="1" x14ac:dyDescent="0.3">
      <c r="A303" s="12">
        <v>302</v>
      </c>
      <c r="B303" s="5" t="s">
        <v>573</v>
      </c>
      <c r="C303" s="5" t="s">
        <v>574</v>
      </c>
      <c r="D303" s="5" t="s">
        <v>958</v>
      </c>
      <c r="E303" s="5"/>
      <c r="F303" s="5"/>
      <c r="G303" s="5"/>
      <c r="H303" s="13"/>
      <c r="I303" s="13"/>
      <c r="J303" s="5"/>
      <c r="K303" s="17" t="str">
        <f>HYPERLINK("file:///C:/Users/kapil/OneDrive/Desktop/CPPandScripting/CPP_Data/Striver_DSA_Handwritten_Explanations.md#problem-302-postorder-traversal","Notes P302")</f>
        <v>Notes P302</v>
      </c>
    </row>
    <row r="304" spans="1:11" ht="34.049999999999997" customHeight="1" x14ac:dyDescent="0.3">
      <c r="A304" s="9">
        <v>303</v>
      </c>
      <c r="B304" s="10" t="s">
        <v>575</v>
      </c>
      <c r="C304" s="10" t="s">
        <v>576</v>
      </c>
      <c r="D304" s="10" t="s">
        <v>958</v>
      </c>
      <c r="E304" s="10"/>
      <c r="F304" s="10"/>
      <c r="G304" s="10"/>
      <c r="H304" s="11"/>
      <c r="I304" s="11"/>
      <c r="J304" s="10"/>
      <c r="K304" s="16" t="str">
        <f>HYPERLINK("file:///C:/Users/kapil/OneDrive/Desktop/CPPandScripting/CPP_Data/Striver_DSA_Handwritten_Explanations.md#problem-303-level-order-traversal","Notes P303")</f>
        <v>Notes P303</v>
      </c>
    </row>
    <row r="305" spans="1:11" ht="34.049999999999997" customHeight="1" x14ac:dyDescent="0.3">
      <c r="A305" s="12">
        <v>304</v>
      </c>
      <c r="B305" s="5" t="s">
        <v>577</v>
      </c>
      <c r="C305" s="5" t="s">
        <v>570</v>
      </c>
      <c r="D305" s="5"/>
      <c r="E305" s="5"/>
      <c r="F305" s="5"/>
      <c r="G305" s="5"/>
      <c r="H305" s="13"/>
      <c r="I305" s="13"/>
      <c r="J305" s="5"/>
      <c r="K305" s="17" t="str">
        <f>HYPERLINK("file:///C:/Users/kapil/OneDrive/Desktop/CPPandScripting/CPP_Data/Striver_DSA_Handwritten_Explanations.md#problem-304-iterative-preorder-traversal-of-binary-tree","Notes P304")</f>
        <v>Notes P304</v>
      </c>
    </row>
    <row r="306" spans="1:11" ht="34.049999999999997" customHeight="1" x14ac:dyDescent="0.3">
      <c r="A306" s="9">
        <v>305</v>
      </c>
      <c r="B306" s="10" t="s">
        <v>578</v>
      </c>
      <c r="C306" s="10" t="s">
        <v>572</v>
      </c>
      <c r="D306" s="10"/>
      <c r="E306" s="10"/>
      <c r="F306" s="10"/>
      <c r="G306" s="10"/>
      <c r="H306" s="11"/>
      <c r="I306" s="11"/>
      <c r="J306" s="10"/>
      <c r="K306" s="16" t="str">
        <f>HYPERLINK("file:///C:/Users/kapil/OneDrive/Desktop/CPPandScripting/CPP_Data/Striver_DSA_Handwritten_Explanations.md#problem-305-iterative-inorder-traversal-of-binary-tree","Notes P305")</f>
        <v>Notes P305</v>
      </c>
    </row>
    <row r="307" spans="1:11" ht="34.049999999999997" customHeight="1" x14ac:dyDescent="0.3">
      <c r="A307" s="12">
        <v>306</v>
      </c>
      <c r="B307" s="5" t="s">
        <v>579</v>
      </c>
      <c r="C307" s="5" t="s">
        <v>574</v>
      </c>
      <c r="D307" s="5"/>
      <c r="E307" s="5"/>
      <c r="F307" s="5"/>
      <c r="G307" s="5"/>
      <c r="H307" s="13"/>
      <c r="I307" s="13"/>
      <c r="J307" s="5"/>
      <c r="K307" s="17" t="str">
        <f>HYPERLINK("file:///C:/Users/kapil/OneDrive/Desktop/CPPandScripting/CPP_Data/Striver_DSA_Handwritten_Explanations.md#problem-306-post-order-traversal-of-binary-tree-using-2-stack","Notes P306")</f>
        <v>Notes P306</v>
      </c>
    </row>
    <row r="308" spans="1:11" ht="34.049999999999997" customHeight="1" x14ac:dyDescent="0.3">
      <c r="A308" s="9">
        <v>307</v>
      </c>
      <c r="B308" s="10" t="s">
        <v>580</v>
      </c>
      <c r="C308" s="10" t="s">
        <v>574</v>
      </c>
      <c r="D308" s="10"/>
      <c r="E308" s="10"/>
      <c r="F308" s="10"/>
      <c r="G308" s="10"/>
      <c r="H308" s="11"/>
      <c r="I308" s="11"/>
      <c r="J308" s="10"/>
      <c r="K308" s="16" t="str">
        <f>HYPERLINK("file:///C:/Users/kapil/OneDrive/Desktop/CPPandScripting/CPP_Data/Striver_DSA_Handwritten_Explanations.md#problem-307-post-order-traversal-of-binary-tree-using-1-stack","Notes P307")</f>
        <v>Notes P307</v>
      </c>
    </row>
    <row r="309" spans="1:11" ht="34.049999999999997" customHeight="1" x14ac:dyDescent="0.3">
      <c r="A309" s="12">
        <v>308</v>
      </c>
      <c r="B309" s="5" t="s">
        <v>581</v>
      </c>
      <c r="C309" s="5" t="s">
        <v>568</v>
      </c>
      <c r="D309" s="5" t="s">
        <v>958</v>
      </c>
      <c r="E309" s="5"/>
      <c r="F309" s="5"/>
      <c r="G309" s="5"/>
      <c r="H309" s="13"/>
      <c r="I309" s="13"/>
      <c r="J309" s="5"/>
      <c r="K309" s="17" t="str">
        <f>HYPERLINK("file:///C:/Users/kapil/OneDrive/Desktop/CPPandScripting/CPP_Data/Striver_DSA_Handwritten_Explanations.md#problem-308-preorder-inorder-and-postorder-traversal-in-one-tr","Notes P308")</f>
        <v>Notes P308</v>
      </c>
    </row>
    <row r="310" spans="1:11" ht="34.049999999999997" customHeight="1" x14ac:dyDescent="0.3">
      <c r="A310" s="9">
        <v>309</v>
      </c>
      <c r="B310" s="10" t="s">
        <v>582</v>
      </c>
      <c r="C310" s="10" t="s">
        <v>583</v>
      </c>
      <c r="D310" s="10" t="s">
        <v>959</v>
      </c>
      <c r="E310" s="10"/>
      <c r="F310" s="10"/>
      <c r="G310" s="10"/>
      <c r="H310" s="11"/>
      <c r="I310" s="11"/>
      <c r="J310" s="10"/>
      <c r="K310" s="16" t="str">
        <f>HYPERLINK("file:///C:/Users/kapil/OneDrive/Desktop/CPPandScripting/CPP_Data/Striver_DSA_Handwritten_Explanations.md#problem-309-maximum-depth-in-bt","Notes P309")</f>
        <v>Notes P309</v>
      </c>
    </row>
    <row r="311" spans="1:11" ht="34.049999999999997" customHeight="1" x14ac:dyDescent="0.3">
      <c r="A311" s="12">
        <v>310</v>
      </c>
      <c r="B311" s="5" t="s">
        <v>584</v>
      </c>
      <c r="C311" s="5" t="s">
        <v>585</v>
      </c>
      <c r="D311" s="5"/>
      <c r="E311" s="5"/>
      <c r="F311" s="5"/>
      <c r="G311" s="5"/>
      <c r="H311" s="13"/>
      <c r="I311" s="13"/>
      <c r="J311" s="5"/>
      <c r="K311" s="17" t="str">
        <f>HYPERLINK("file:///C:/Users/kapil/OneDrive/Desktop/CPPandScripting/CPP_Data/Striver_DSA_Handwritten_Explanations.md#problem-310-check-for-balanced-binary-tree","Notes P310")</f>
        <v>Notes P310</v>
      </c>
    </row>
    <row r="312" spans="1:11" ht="34.049999999999997" customHeight="1" x14ac:dyDescent="0.3">
      <c r="A312" s="9">
        <v>311</v>
      </c>
      <c r="B312" s="10" t="s">
        <v>586</v>
      </c>
      <c r="C312" s="10" t="s">
        <v>587</v>
      </c>
      <c r="D312" s="10" t="s">
        <v>960</v>
      </c>
      <c r="E312" s="10"/>
      <c r="F312" s="10"/>
      <c r="G312" s="10"/>
      <c r="H312" s="11"/>
      <c r="I312" s="11"/>
      <c r="J312" s="10"/>
      <c r="K312" s="16" t="str">
        <f>HYPERLINK("file:///C:/Users/kapil/OneDrive/Desktop/CPPandScripting/CPP_Data/Striver_DSA_Handwritten_Explanations.md#problem-311-diameter-of-binary-tree","Notes P311")</f>
        <v>Notes P311</v>
      </c>
    </row>
    <row r="313" spans="1:11" ht="34.049999999999997" customHeight="1" x14ac:dyDescent="0.3">
      <c r="A313" s="12">
        <v>312</v>
      </c>
      <c r="B313" s="5" t="s">
        <v>588</v>
      </c>
      <c r="C313" s="5" t="s">
        <v>589</v>
      </c>
      <c r="D313" s="5"/>
      <c r="E313" s="5"/>
      <c r="F313" s="5"/>
      <c r="G313" s="5"/>
      <c r="H313" s="13"/>
      <c r="I313" s="13"/>
      <c r="J313" s="5"/>
      <c r="K313" s="17" t="str">
        <f>HYPERLINK("file:///C:/Users/kapil/OneDrive/Desktop/CPPandScripting/CPP_Data/Striver_DSA_Handwritten_Explanations.md#problem-312-maximum-path-sum","Notes P312")</f>
        <v>Notes P312</v>
      </c>
    </row>
    <row r="314" spans="1:11" ht="34.049999999999997" customHeight="1" x14ac:dyDescent="0.3">
      <c r="A314" s="9">
        <v>313</v>
      </c>
      <c r="B314" s="10" t="s">
        <v>590</v>
      </c>
      <c r="C314" s="10" t="s">
        <v>591</v>
      </c>
      <c r="D314" s="10" t="s">
        <v>961</v>
      </c>
      <c r="E314" s="10"/>
      <c r="F314" s="10"/>
      <c r="G314" s="10"/>
      <c r="H314" s="11"/>
      <c r="I314" s="11"/>
      <c r="J314" s="10"/>
      <c r="K314" s="16" t="str">
        <f>HYPERLINK("file:///C:/Users/kapil/OneDrive/Desktop/CPPandScripting/CPP_Data/Striver_DSA_Handwritten_Explanations.md#problem-313-check-if-two-trees-are-identical-or-not","Notes P313")</f>
        <v>Notes P313</v>
      </c>
    </row>
    <row r="315" spans="1:11" ht="34.049999999999997" customHeight="1" x14ac:dyDescent="0.3">
      <c r="A315" s="12">
        <v>314</v>
      </c>
      <c r="B315" s="5" t="s">
        <v>592</v>
      </c>
      <c r="C315" s="5" t="s">
        <v>593</v>
      </c>
      <c r="D315" s="5"/>
      <c r="E315" s="5"/>
      <c r="F315" s="5"/>
      <c r="G315" s="5"/>
      <c r="H315" s="13"/>
      <c r="I315" s="13"/>
      <c r="J315" s="5"/>
      <c r="K315" s="17" t="str">
        <f>HYPERLINK("file:///C:/Users/kapil/OneDrive/Desktop/CPPandScripting/CPP_Data/Striver_DSA_Handwritten_Explanations.md#problem-314-zig-zag-or-spiral-traversal","Notes P314")</f>
        <v>Notes P314</v>
      </c>
    </row>
    <row r="316" spans="1:11" ht="34.049999999999997" customHeight="1" x14ac:dyDescent="0.3">
      <c r="A316" s="9">
        <v>315</v>
      </c>
      <c r="B316" s="10" t="s">
        <v>594</v>
      </c>
      <c r="C316" s="10" t="s">
        <v>595</v>
      </c>
      <c r="D316" s="10"/>
      <c r="E316" s="10"/>
      <c r="F316" s="10"/>
      <c r="G316" s="10"/>
      <c r="H316" s="11"/>
      <c r="I316" s="11"/>
      <c r="J316" s="10"/>
      <c r="K316" s="16" t="str">
        <f>HYPERLINK("file:///C:/Users/kapil/OneDrive/Desktop/CPPandScripting/CPP_Data/Striver_DSA_Handwritten_Explanations.md#problem-315-boundary-traversal","Notes P315")</f>
        <v>Notes P315</v>
      </c>
    </row>
    <row r="317" spans="1:11" ht="34.049999999999997" customHeight="1" x14ac:dyDescent="0.3">
      <c r="A317" s="12">
        <v>316</v>
      </c>
      <c r="B317" s="5" t="s">
        <v>596</v>
      </c>
      <c r="C317" s="5" t="s">
        <v>597</v>
      </c>
      <c r="D317" s="5"/>
      <c r="E317" s="5"/>
      <c r="F317" s="5"/>
      <c r="G317" s="5"/>
      <c r="H317" s="13"/>
      <c r="I317" s="13"/>
      <c r="J317" s="5"/>
      <c r="K317" s="17" t="str">
        <f>HYPERLINK("file:///C:/Users/kapil/OneDrive/Desktop/CPPandScripting/CPP_Data/Striver_DSA_Handwritten_Explanations.md#problem-316-vertical-order-traversal","Notes P316")</f>
        <v>Notes P316</v>
      </c>
    </row>
    <row r="318" spans="1:11" ht="34.049999999999997" customHeight="1" x14ac:dyDescent="0.3">
      <c r="A318" s="9">
        <v>317</v>
      </c>
      <c r="B318" s="10" t="s">
        <v>598</v>
      </c>
      <c r="C318" s="10" t="s">
        <v>599</v>
      </c>
      <c r="D318" s="10" t="s">
        <v>962</v>
      </c>
      <c r="E318" s="10"/>
      <c r="F318" s="10"/>
      <c r="G318" s="10"/>
      <c r="H318" s="11"/>
      <c r="I318" s="11"/>
      <c r="J318" s="10"/>
      <c r="K318" s="16" t="str">
        <f>HYPERLINK("file:///C:/Users/kapil/OneDrive/Desktop/CPPandScripting/CPP_Data/Striver_DSA_Handwritten_Explanations.md#problem-317-top-view-of-bt","Notes P317")</f>
        <v>Notes P317</v>
      </c>
    </row>
    <row r="319" spans="1:11" ht="34.049999999999997" customHeight="1" x14ac:dyDescent="0.3">
      <c r="A319" s="12">
        <v>318</v>
      </c>
      <c r="B319" s="5" t="s">
        <v>600</v>
      </c>
      <c r="C319" s="5" t="s">
        <v>601</v>
      </c>
      <c r="D319" s="5"/>
      <c r="E319" s="5"/>
      <c r="F319" s="5"/>
      <c r="G319" s="5"/>
      <c r="H319" s="13"/>
      <c r="I319" s="13"/>
      <c r="J319" s="5"/>
      <c r="K319" s="17" t="str">
        <f>HYPERLINK("file:///C:/Users/kapil/OneDrive/Desktop/CPPandScripting/CPP_Data/Striver_DSA_Handwritten_Explanations.md#problem-318-bottom-view-of-bt","Notes P318")</f>
        <v>Notes P318</v>
      </c>
    </row>
    <row r="320" spans="1:11" ht="34.049999999999997" customHeight="1" x14ac:dyDescent="0.3">
      <c r="A320" s="9">
        <v>319</v>
      </c>
      <c r="B320" s="10" t="s">
        <v>602</v>
      </c>
      <c r="C320" s="10" t="s">
        <v>603</v>
      </c>
      <c r="D320" s="10"/>
      <c r="E320" s="10"/>
      <c r="F320" s="10"/>
      <c r="G320" s="10"/>
      <c r="H320" s="11"/>
      <c r="I320" s="11"/>
      <c r="J320" s="10"/>
      <c r="K320" s="16" t="str">
        <f>HYPERLINK("file:///C:/Users/kapil/OneDrive/Desktop/CPPandScripting/CPP_Data/Striver_DSA_Handwritten_Explanations.md#problem-319-right-left-view-of-binary-tree","Notes P319")</f>
        <v>Notes P319</v>
      </c>
    </row>
    <row r="321" spans="1:11" ht="34.049999999999997" customHeight="1" x14ac:dyDescent="0.3">
      <c r="A321" s="12">
        <v>320</v>
      </c>
      <c r="B321" s="5" t="s">
        <v>604</v>
      </c>
      <c r="C321" s="5" t="s">
        <v>605</v>
      </c>
      <c r="D321" s="5"/>
      <c r="E321" s="5"/>
      <c r="F321" s="5"/>
      <c r="G321" s="5"/>
      <c r="H321" s="13"/>
      <c r="I321" s="13"/>
      <c r="J321" s="5"/>
      <c r="K321" s="17" t="str">
        <f>HYPERLINK("file:///C:/Users/kapil/OneDrive/Desktop/CPPandScripting/CPP_Data/Striver_DSA_Handwritten_Explanations.md#problem-320-symmetric-binary-tree","Notes P320")</f>
        <v>Notes P320</v>
      </c>
    </row>
    <row r="322" spans="1:11" ht="34.049999999999997" customHeight="1" x14ac:dyDescent="0.3">
      <c r="A322" s="9">
        <v>321</v>
      </c>
      <c r="B322" s="10" t="s">
        <v>606</v>
      </c>
      <c r="C322" s="10" t="s">
        <v>607</v>
      </c>
      <c r="D322" s="10" t="s">
        <v>963</v>
      </c>
      <c r="E322" s="10"/>
      <c r="F322" s="10"/>
      <c r="G322" s="10"/>
      <c r="H322" s="11"/>
      <c r="I322" s="11"/>
      <c r="J322" s="10"/>
      <c r="K322" s="16" t="str">
        <f>HYPERLINK("file:///C:/Users/kapil/OneDrive/Desktop/CPPandScripting/CPP_Data/Striver_DSA_Handwritten_Explanations.md#problem-321-print-root-to-leaf-path-in-bt","Notes P321")</f>
        <v>Notes P321</v>
      </c>
    </row>
    <row r="323" spans="1:11" ht="34.049999999999997" customHeight="1" x14ac:dyDescent="0.3">
      <c r="A323" s="12">
        <v>322</v>
      </c>
      <c r="B323" s="5" t="s">
        <v>608</v>
      </c>
      <c r="C323" s="5" t="s">
        <v>609</v>
      </c>
      <c r="D323" s="5" t="s">
        <v>964</v>
      </c>
      <c r="E323" s="5"/>
      <c r="F323" s="5"/>
      <c r="G323" s="5"/>
      <c r="H323" s="13"/>
      <c r="I323" s="13"/>
      <c r="J323" s="5"/>
      <c r="K323" s="17" t="str">
        <f>HYPERLINK("file:///C:/Users/kapil/OneDrive/Desktop/CPPandScripting/CPP_Data/Striver_DSA_Handwritten_Explanations.md#problem-322-lca-in-bt","Notes P322")</f>
        <v>Notes P322</v>
      </c>
    </row>
    <row r="324" spans="1:11" ht="34.049999999999997" customHeight="1" x14ac:dyDescent="0.3">
      <c r="A324" s="9">
        <v>323</v>
      </c>
      <c r="B324" s="10" t="s">
        <v>610</v>
      </c>
      <c r="C324" s="10" t="s">
        <v>611</v>
      </c>
      <c r="D324" s="10" t="s">
        <v>965</v>
      </c>
      <c r="E324" s="10"/>
      <c r="F324" s="10"/>
      <c r="G324" s="10"/>
      <c r="H324" s="11"/>
      <c r="I324" s="11"/>
      <c r="J324" s="10"/>
      <c r="K324" s="16" t="str">
        <f>HYPERLINK("file:///C:/Users/kapil/OneDrive/Desktop/CPPandScripting/CPP_Data/Striver_DSA_Handwritten_Explanations.md#problem-323-maximum-width-of-bt","Notes P323")</f>
        <v>Notes P323</v>
      </c>
    </row>
    <row r="325" spans="1:11" ht="34.049999999999997" customHeight="1" x14ac:dyDescent="0.3">
      <c r="A325" s="12">
        <v>324</v>
      </c>
      <c r="B325" s="5" t="s">
        <v>612</v>
      </c>
      <c r="C325" s="5" t="s">
        <v>613</v>
      </c>
      <c r="D325" s="5"/>
      <c r="E325" s="5"/>
      <c r="F325" s="5"/>
      <c r="G325" s="5"/>
      <c r="H325" s="13"/>
      <c r="I325" s="13"/>
      <c r="J325" s="5"/>
      <c r="K325" s="17" t="str">
        <f>HYPERLINK("file:///C:/Users/kapil/OneDrive/Desktop/CPPandScripting/CPP_Data/Striver_DSA_Handwritten_Explanations.md#problem-324-children-sum-property-in-binary-tree","Notes P324")</f>
        <v>Notes P324</v>
      </c>
    </row>
    <row r="326" spans="1:11" ht="34.049999999999997" customHeight="1" x14ac:dyDescent="0.3">
      <c r="A326" s="9">
        <v>325</v>
      </c>
      <c r="B326" s="10" t="s">
        <v>614</v>
      </c>
      <c r="C326" s="10" t="s">
        <v>615</v>
      </c>
      <c r="D326" s="10"/>
      <c r="E326" s="10"/>
      <c r="F326" s="10"/>
      <c r="G326" s="10"/>
      <c r="H326" s="11"/>
      <c r="I326" s="11"/>
      <c r="J326" s="10"/>
      <c r="K326" s="16" t="str">
        <f>HYPERLINK("file:///C:/Users/kapil/OneDrive/Desktop/CPPandScripting/CPP_Data/Striver_DSA_Handwritten_Explanations.md#problem-325-print-all-nodes-at-a-distance-of-k-in-bt","Notes P325")</f>
        <v>Notes P325</v>
      </c>
    </row>
    <row r="327" spans="1:11" ht="34.049999999999997" customHeight="1" x14ac:dyDescent="0.3">
      <c r="A327" s="12">
        <v>326</v>
      </c>
      <c r="B327" s="5" t="s">
        <v>616</v>
      </c>
      <c r="C327" s="5" t="s">
        <v>617</v>
      </c>
      <c r="D327" s="5"/>
      <c r="E327" s="5"/>
      <c r="F327" s="5"/>
      <c r="G327" s="5"/>
      <c r="H327" s="13"/>
      <c r="I327" s="13"/>
      <c r="J327" s="5"/>
      <c r="K327" s="17" t="str">
        <f>HYPERLINK("file:///C:/Users/kapil/OneDrive/Desktop/CPPandScripting/CPP_Data/Striver_DSA_Handwritten_Explanations.md#problem-326-minimum-time-taken-to-burn-the-bt-from-a-given-nod","Notes P326")</f>
        <v>Notes P326</v>
      </c>
    </row>
    <row r="328" spans="1:11" ht="34.049999999999997" customHeight="1" x14ac:dyDescent="0.3">
      <c r="A328" s="9">
        <v>327</v>
      </c>
      <c r="B328" s="10" t="s">
        <v>618</v>
      </c>
      <c r="C328" s="10" t="s">
        <v>619</v>
      </c>
      <c r="D328" s="10" t="s">
        <v>959</v>
      </c>
      <c r="E328" s="10"/>
      <c r="F328" s="10"/>
      <c r="G328" s="10"/>
      <c r="H328" s="11"/>
      <c r="I328" s="11"/>
      <c r="J328" s="10"/>
      <c r="K328" s="16" t="str">
        <f>HYPERLINK("file:///C:/Users/kapil/OneDrive/Desktop/CPPandScripting/CPP_Data/Striver_DSA_Handwritten_Explanations.md#problem-327-count-total-nodes-in-a-complete-bt","Notes P327")</f>
        <v>Notes P327</v>
      </c>
    </row>
    <row r="329" spans="1:11" ht="34.049999999999997" customHeight="1" x14ac:dyDescent="0.3">
      <c r="A329" s="12">
        <v>328</v>
      </c>
      <c r="B329" s="5" t="s">
        <v>620</v>
      </c>
      <c r="C329" s="5" t="s">
        <v>621</v>
      </c>
      <c r="D329" s="5"/>
      <c r="E329" s="5"/>
      <c r="F329" s="5"/>
      <c r="G329" s="5"/>
      <c r="H329" s="13"/>
      <c r="I329" s="13"/>
      <c r="J329" s="5"/>
      <c r="K329" s="17" t="str">
        <f>HYPERLINK("file:///C:/Users/kapil/OneDrive/Desktop/CPPandScripting/CPP_Data/Striver_DSA_Handwritten_Explanations.md#problem-328-requirements-needed-to-construct-a-unique-bt","Notes P328")</f>
        <v>Notes P328</v>
      </c>
    </row>
    <row r="330" spans="1:11" ht="34.049999999999997" customHeight="1" x14ac:dyDescent="0.3">
      <c r="A330" s="9">
        <v>329</v>
      </c>
      <c r="B330" s="10" t="s">
        <v>622</v>
      </c>
      <c r="C330" s="10" t="s">
        <v>623</v>
      </c>
      <c r="D330" s="10" t="s">
        <v>966</v>
      </c>
      <c r="E330" s="10"/>
      <c r="F330" s="10"/>
      <c r="G330" s="10"/>
      <c r="H330" s="11"/>
      <c r="I330" s="11"/>
      <c r="J330" s="10"/>
      <c r="K330" s="16" t="str">
        <f>HYPERLINK("file:///C:/Users/kapil/OneDrive/Desktop/CPPandScripting/CPP_Data/Striver_DSA_Handwritten_Explanations.md#problem-329-construct-a-bt-from-preorder-and-inorder","Notes P329")</f>
        <v>Notes P329</v>
      </c>
    </row>
    <row r="331" spans="1:11" ht="34.049999999999997" customHeight="1" x14ac:dyDescent="0.3">
      <c r="A331" s="12">
        <v>330</v>
      </c>
      <c r="B331" s="5" t="s">
        <v>624</v>
      </c>
      <c r="C331" s="5" t="s">
        <v>625</v>
      </c>
      <c r="D331" s="5"/>
      <c r="E331" s="5"/>
      <c r="F331" s="5"/>
      <c r="G331" s="5"/>
      <c r="H331" s="13"/>
      <c r="I331" s="13"/>
      <c r="J331" s="5"/>
      <c r="K331" s="17" t="str">
        <f>HYPERLINK("file:///C:/Users/kapil/OneDrive/Desktop/CPPandScripting/CPP_Data/Striver_DSA_Handwritten_Explanations.md#problem-330-construct-the-binary-tree-from-postorder-and-inord","Notes P330")</f>
        <v>Notes P330</v>
      </c>
    </row>
    <row r="332" spans="1:11" ht="34.049999999999997" customHeight="1" x14ac:dyDescent="0.3">
      <c r="A332" s="9">
        <v>331</v>
      </c>
      <c r="B332" s="10" t="s">
        <v>626</v>
      </c>
      <c r="C332" s="10" t="s">
        <v>627</v>
      </c>
      <c r="D332" s="10"/>
      <c r="E332" s="10"/>
      <c r="F332" s="10"/>
      <c r="G332" s="10"/>
      <c r="H332" s="11"/>
      <c r="I332" s="11"/>
      <c r="J332" s="10"/>
      <c r="K332" s="16" t="str">
        <f>HYPERLINK("file:///C:/Users/kapil/OneDrive/Desktop/CPPandScripting/CPP_Data/Striver_DSA_Handwritten_Explanations.md#problem-331-serialize-and-de-serialize-bt","Notes P331")</f>
        <v>Notes P331</v>
      </c>
    </row>
    <row r="333" spans="1:11" ht="34.049999999999997" customHeight="1" x14ac:dyDescent="0.3">
      <c r="A333" s="12">
        <v>332</v>
      </c>
      <c r="B333" s="5" t="s">
        <v>628</v>
      </c>
      <c r="C333" s="5" t="s">
        <v>572</v>
      </c>
      <c r="D333" s="5"/>
      <c r="E333" s="5"/>
      <c r="F333" s="5"/>
      <c r="G333" s="5"/>
      <c r="H333" s="13"/>
      <c r="I333" s="13"/>
      <c r="J333" s="5"/>
      <c r="K333" s="17" t="str">
        <f>HYPERLINK("file:///C:/Users/kapil/OneDrive/Desktop/CPPandScripting/CPP_Data/Striver_DSA_Handwritten_Explanations.md#problem-332-morris-preorder-traversal-of-a-binary-tree","Notes P332")</f>
        <v>Notes P332</v>
      </c>
    </row>
    <row r="334" spans="1:11" ht="34.049999999999997" customHeight="1" x14ac:dyDescent="0.3">
      <c r="A334" s="9">
        <v>333</v>
      </c>
      <c r="B334" s="10" t="s">
        <v>629</v>
      </c>
      <c r="C334" s="10" t="s">
        <v>572</v>
      </c>
      <c r="D334" s="10" t="s">
        <v>967</v>
      </c>
      <c r="E334" s="10"/>
      <c r="F334" s="10"/>
      <c r="G334" s="10"/>
      <c r="H334" s="11"/>
      <c r="I334" s="11"/>
      <c r="J334" s="10"/>
      <c r="K334" s="16" t="str">
        <f>HYPERLINK("file:///C:/Users/kapil/OneDrive/Desktop/CPPandScripting/CPP_Data/Striver_DSA_Handwritten_Explanations.md#problem-333-morris-inorder-traversal-of-a-binary-tree","Notes P333")</f>
        <v>Notes P333</v>
      </c>
    </row>
    <row r="335" spans="1:11" ht="34.049999999999997" customHeight="1" x14ac:dyDescent="0.3">
      <c r="A335" s="12">
        <v>334</v>
      </c>
      <c r="B335" s="5" t="s">
        <v>630</v>
      </c>
      <c r="C335" s="5" t="s">
        <v>631</v>
      </c>
      <c r="D335" s="5" t="s">
        <v>968</v>
      </c>
      <c r="E335" s="5"/>
      <c r="F335" s="5"/>
      <c r="G335" s="5"/>
      <c r="H335" s="13"/>
      <c r="I335" s="13"/>
      <c r="J335" s="5"/>
      <c r="K335" s="17" t="str">
        <f>HYPERLINK("file:///C:/Users/kapil/OneDrive/Desktop/CPPandScripting/CPP_Data/Striver_DSA_Handwritten_Explanations.md#problem-334-flatten-binary-tree-to-linked-list","Notes P334")</f>
        <v>Notes P334</v>
      </c>
    </row>
    <row r="336" spans="1:11" ht="34.049999999999997" customHeight="1" x14ac:dyDescent="0.3">
      <c r="A336" s="9">
        <v>335</v>
      </c>
      <c r="B336" s="10" t="s">
        <v>632</v>
      </c>
      <c r="C336" s="10" t="s">
        <v>633</v>
      </c>
      <c r="D336" s="10" t="s">
        <v>969</v>
      </c>
      <c r="E336" s="10"/>
      <c r="F336" s="10"/>
      <c r="G336" s="10"/>
      <c r="H336" s="11"/>
      <c r="I336" s="11"/>
      <c r="J336" s="10"/>
      <c r="K336" s="16" t="str">
        <f>HYPERLINK("file:///C:/Users/kapil/OneDrive/Desktop/CPPandScripting/CPP_Data/Striver_DSA_Handwritten_Explanations.md#problem-335-introduction-to-bst","Notes P335")</f>
        <v>Notes P335</v>
      </c>
    </row>
    <row r="337" spans="1:11" ht="34.049999999999997" customHeight="1" x14ac:dyDescent="0.3">
      <c r="A337" s="12">
        <v>336</v>
      </c>
      <c r="B337" s="5" t="s">
        <v>634</v>
      </c>
      <c r="C337" s="5" t="s">
        <v>635</v>
      </c>
      <c r="D337" s="5"/>
      <c r="E337" s="5"/>
      <c r="F337" s="5"/>
      <c r="G337" s="5"/>
      <c r="H337" s="13"/>
      <c r="I337" s="13"/>
      <c r="J337" s="5"/>
      <c r="K337" s="17" t="str">
        <f>HYPERLINK("file:///C:/Users/kapil/OneDrive/Desktop/CPPandScripting/CPP_Data/Striver_DSA_Handwritten_Explanations.md#problem-336-search-in-a-binary-search-tree","Notes P336")</f>
        <v>Notes P336</v>
      </c>
    </row>
    <row r="338" spans="1:11" ht="34.049999999999997" customHeight="1" x14ac:dyDescent="0.3">
      <c r="A338" s="9">
        <v>337</v>
      </c>
      <c r="B338" s="10" t="s">
        <v>636</v>
      </c>
      <c r="C338" s="10" t="s">
        <v>637</v>
      </c>
      <c r="D338" s="10"/>
      <c r="E338" s="10"/>
      <c r="F338" s="10"/>
      <c r="G338" s="10"/>
      <c r="H338" s="11"/>
      <c r="I338" s="11"/>
      <c r="J338" s="10"/>
      <c r="K338" s="16" t="str">
        <f>HYPERLINK("file:///C:/Users/kapil/OneDrive/Desktop/CPPandScripting/CPP_Data/Striver_DSA_Handwritten_Explanations.md#problem-337-find-min-max-in-bst","Notes P337")</f>
        <v>Notes P337</v>
      </c>
    </row>
    <row r="339" spans="1:11" ht="34.049999999999997" customHeight="1" x14ac:dyDescent="0.3">
      <c r="A339" s="12">
        <v>338</v>
      </c>
      <c r="B339" s="5" t="s">
        <v>638</v>
      </c>
      <c r="C339" s="5" t="s">
        <v>639</v>
      </c>
      <c r="D339" s="5"/>
      <c r="E339" s="5"/>
      <c r="F339" s="5"/>
      <c r="G339" s="5"/>
      <c r="H339" s="13"/>
      <c r="I339" s="13"/>
      <c r="J339" s="5"/>
      <c r="K339" s="17" t="str">
        <f>HYPERLINK("file:///C:/Users/kapil/OneDrive/Desktop/CPPandScripting/CPP_Data/Striver_DSA_Handwritten_Explanations.md#problem-338-floor-and-ceil-in-a-bst","Notes P338")</f>
        <v>Notes P338</v>
      </c>
    </row>
    <row r="340" spans="1:11" ht="34.049999999999997" customHeight="1" x14ac:dyDescent="0.3">
      <c r="A340" s="9">
        <v>339</v>
      </c>
      <c r="B340" s="10" t="s">
        <v>640</v>
      </c>
      <c r="C340" s="10" t="s">
        <v>641</v>
      </c>
      <c r="D340" s="10"/>
      <c r="E340" s="10"/>
      <c r="F340" s="10"/>
      <c r="G340" s="10"/>
      <c r="H340" s="11"/>
      <c r="I340" s="11"/>
      <c r="J340" s="10"/>
      <c r="K340" s="16" t="str">
        <f>HYPERLINK("file:///C:/Users/kapil/OneDrive/Desktop/CPPandScripting/CPP_Data/Striver_DSA_Handwritten_Explanations.md#problem-339-floor-in-a-binary-search-tree","Notes P339")</f>
        <v>Notes P339</v>
      </c>
    </row>
    <row r="341" spans="1:11" ht="34.049999999999997" customHeight="1" x14ac:dyDescent="0.3">
      <c r="A341" s="12">
        <v>340</v>
      </c>
      <c r="B341" s="5" t="s">
        <v>642</v>
      </c>
      <c r="C341" s="5" t="s">
        <v>643</v>
      </c>
      <c r="D341" s="5"/>
      <c r="E341" s="5"/>
      <c r="F341" s="5"/>
      <c r="G341" s="5"/>
      <c r="H341" s="13"/>
      <c r="I341" s="13"/>
      <c r="J341" s="5"/>
      <c r="K341" s="17" t="str">
        <f>HYPERLINK("file:///C:/Users/kapil/OneDrive/Desktop/CPPandScripting/CPP_Data/Striver_DSA_Handwritten_Explanations.md#problem-340-insert-a-given-node-in-bst","Notes P340")</f>
        <v>Notes P340</v>
      </c>
    </row>
    <row r="342" spans="1:11" ht="34.049999999999997" customHeight="1" x14ac:dyDescent="0.3">
      <c r="A342" s="9">
        <v>341</v>
      </c>
      <c r="B342" s="10" t="s">
        <v>644</v>
      </c>
      <c r="C342" s="10" t="s">
        <v>645</v>
      </c>
      <c r="D342" s="10"/>
      <c r="E342" s="10"/>
      <c r="F342" s="10"/>
      <c r="G342" s="10"/>
      <c r="H342" s="11"/>
      <c r="I342" s="11"/>
      <c r="J342" s="10"/>
      <c r="K342" s="16" t="str">
        <f>HYPERLINK("file:///C:/Users/kapil/OneDrive/Desktop/CPPandScripting/CPP_Data/Striver_DSA_Handwritten_Explanations.md#problem-341-delete-a-node-in-bst","Notes P341")</f>
        <v>Notes P341</v>
      </c>
    </row>
    <row r="343" spans="1:11" ht="34.049999999999997" customHeight="1" x14ac:dyDescent="0.3">
      <c r="A343" s="12">
        <v>342</v>
      </c>
      <c r="B343" s="5" t="s">
        <v>646</v>
      </c>
      <c r="C343" s="5" t="s">
        <v>647</v>
      </c>
      <c r="D343" s="5" t="s">
        <v>970</v>
      </c>
      <c r="E343" s="5"/>
      <c r="F343" s="5"/>
      <c r="G343" s="5"/>
      <c r="H343" s="13"/>
      <c r="I343" s="13"/>
      <c r="J343" s="5"/>
      <c r="K343" s="17" t="str">
        <f>HYPERLINK("file:///C:/Users/kapil/OneDrive/Desktop/CPPandScripting/CPP_Data/Striver_DSA_Handwritten_Explanations.md#problem-342-kth-smallest-and-largest-element-in-bst","Notes P342")</f>
        <v>Notes P342</v>
      </c>
    </row>
    <row r="344" spans="1:11" ht="34.049999999999997" customHeight="1" x14ac:dyDescent="0.3">
      <c r="A344" s="9">
        <v>343</v>
      </c>
      <c r="B344" s="10" t="s">
        <v>648</v>
      </c>
      <c r="C344" s="10" t="s">
        <v>649</v>
      </c>
      <c r="D344" s="10" t="s">
        <v>971</v>
      </c>
      <c r="E344" s="10"/>
      <c r="F344" s="10"/>
      <c r="G344" s="10"/>
      <c r="H344" s="11"/>
      <c r="I344" s="11"/>
      <c r="J344" s="10"/>
      <c r="K344" s="16" t="str">
        <f>HYPERLINK("file:///C:/Users/kapil/OneDrive/Desktop/CPPandScripting/CPP_Data/Striver_DSA_Handwritten_Explanations.md#problem-343-check-if-a-tree-is-a-bst-or-not","Notes P343")</f>
        <v>Notes P343</v>
      </c>
    </row>
    <row r="345" spans="1:11" ht="34.049999999999997" customHeight="1" x14ac:dyDescent="0.3">
      <c r="A345" s="12">
        <v>344</v>
      </c>
      <c r="B345" s="5" t="s">
        <v>650</v>
      </c>
      <c r="C345" s="5" t="s">
        <v>651</v>
      </c>
      <c r="D345" s="5" t="s">
        <v>972</v>
      </c>
      <c r="E345" s="5"/>
      <c r="F345" s="5"/>
      <c r="G345" s="5"/>
      <c r="H345" s="13"/>
      <c r="I345" s="13"/>
      <c r="J345" s="5"/>
      <c r="K345" s="17" t="str">
        <f>HYPERLINK("file:///C:/Users/kapil/OneDrive/Desktop/CPPandScripting/CPP_Data/Striver_DSA_Handwritten_Explanations.md#problem-344-lca-in-bst","Notes P344")</f>
        <v>Notes P344</v>
      </c>
    </row>
    <row r="346" spans="1:11" ht="34.049999999999997" customHeight="1" x14ac:dyDescent="0.3">
      <c r="A346" s="9">
        <v>345</v>
      </c>
      <c r="B346" s="10" t="s">
        <v>652</v>
      </c>
      <c r="C346" s="10" t="s">
        <v>653</v>
      </c>
      <c r="D346" s="10" t="s">
        <v>973</v>
      </c>
      <c r="E346" s="10"/>
      <c r="F346" s="10"/>
      <c r="G346" s="10"/>
      <c r="H346" s="11"/>
      <c r="I346" s="11"/>
      <c r="J346" s="10"/>
      <c r="K346" s="16" t="str">
        <f>HYPERLINK("file:///C:/Users/kapil/OneDrive/Desktop/CPPandScripting/CPP_Data/Striver_DSA_Handwritten_Explanations.md#problem-345-construct-a-bst-from-a-preorder-traversal","Notes P345")</f>
        <v>Notes P345</v>
      </c>
    </row>
    <row r="347" spans="1:11" ht="34.049999999999997" customHeight="1" x14ac:dyDescent="0.3">
      <c r="A347" s="12">
        <v>346</v>
      </c>
      <c r="B347" s="5" t="s">
        <v>654</v>
      </c>
      <c r="C347" s="5" t="s">
        <v>655</v>
      </c>
      <c r="D347" s="5" t="s">
        <v>974</v>
      </c>
      <c r="E347" s="5"/>
      <c r="F347" s="5"/>
      <c r="G347" s="5"/>
      <c r="H347" s="13"/>
      <c r="I347" s="13"/>
      <c r="J347" s="5"/>
      <c r="K347" s="17" t="str">
        <f>HYPERLINK("file:///C:/Users/kapil/OneDrive/Desktop/CPPandScripting/CPP_Data/Striver_DSA_Handwritten_Explanations.md#problem-346-inorder-successor-predecessor-in-bst","Notes P346")</f>
        <v>Notes P346</v>
      </c>
    </row>
    <row r="348" spans="1:11" ht="34.049999999999997" customHeight="1" x14ac:dyDescent="0.3">
      <c r="A348" s="9">
        <v>347</v>
      </c>
      <c r="B348" s="10" t="s">
        <v>656</v>
      </c>
      <c r="C348" s="10" t="s">
        <v>657</v>
      </c>
      <c r="D348" s="10" t="s">
        <v>975</v>
      </c>
      <c r="E348" s="10"/>
      <c r="F348" s="10"/>
      <c r="G348" s="10"/>
      <c r="H348" s="11"/>
      <c r="I348" s="11"/>
      <c r="J348" s="10"/>
      <c r="K348" s="16" t="str">
        <f>HYPERLINK("file:///C:/Users/kapil/OneDrive/Desktop/CPPandScripting/CPP_Data/Striver_DSA_Handwritten_Explanations.md#problem-347-merge-2-bst-s","Notes P347")</f>
        <v>Notes P347</v>
      </c>
    </row>
    <row r="349" spans="1:11" ht="34.049999999999997" customHeight="1" x14ac:dyDescent="0.3">
      <c r="A349" s="12">
        <v>348</v>
      </c>
      <c r="B349" s="5" t="s">
        <v>658</v>
      </c>
      <c r="C349" s="5" t="s">
        <v>659</v>
      </c>
      <c r="D349" s="5"/>
      <c r="E349" s="5"/>
      <c r="F349" s="5"/>
      <c r="G349" s="5"/>
      <c r="H349" s="13"/>
      <c r="I349" s="13"/>
      <c r="J349" s="5"/>
      <c r="K349" s="17" t="str">
        <f>HYPERLINK("file:///C:/Users/kapil/OneDrive/Desktop/CPPandScripting/CPP_Data/Striver_DSA_Handwritten_Explanations.md#problem-348-two-sum-in-bst-check-if-there-exists-a-pair-with-s","Notes P348")</f>
        <v>Notes P348</v>
      </c>
    </row>
    <row r="350" spans="1:11" ht="34.049999999999997" customHeight="1" x14ac:dyDescent="0.3">
      <c r="A350" s="9">
        <v>349</v>
      </c>
      <c r="B350" s="10" t="s">
        <v>660</v>
      </c>
      <c r="C350" s="10" t="s">
        <v>661</v>
      </c>
      <c r="D350" s="10" t="s">
        <v>976</v>
      </c>
      <c r="E350" s="10"/>
      <c r="F350" s="10"/>
      <c r="G350" s="10"/>
      <c r="H350" s="11"/>
      <c r="I350" s="11"/>
      <c r="J350" s="10"/>
      <c r="K350" s="16" t="str">
        <f>HYPERLINK("file:///C:/Users/kapil/OneDrive/Desktop/CPPandScripting/CPP_Data/Striver_DSA_Handwritten_Explanations.md#problem-349-correct-bst-with-two-nodes-swapped","Notes P349")</f>
        <v>Notes P349</v>
      </c>
    </row>
    <row r="351" spans="1:11" ht="34.049999999999997" customHeight="1" x14ac:dyDescent="0.3">
      <c r="A351" s="12">
        <v>350</v>
      </c>
      <c r="B351" s="5" t="s">
        <v>662</v>
      </c>
      <c r="C351" s="5" t="s">
        <v>663</v>
      </c>
      <c r="D351" s="5" t="s">
        <v>977</v>
      </c>
      <c r="E351" s="5"/>
      <c r="F351" s="5"/>
      <c r="G351" s="5"/>
      <c r="H351" s="13"/>
      <c r="I351" s="13"/>
      <c r="J351" s="5"/>
      <c r="K351" s="17" t="str">
        <f>HYPERLINK("file:///C:/Users/kapil/OneDrive/Desktop/CPPandScripting/CPP_Data/Striver_DSA_Handwritten_Explanations.md#problem-350-largest-bst-in-binary-tree","Notes P350")</f>
        <v>Notes P350</v>
      </c>
    </row>
    <row r="352" spans="1:11" ht="34.049999999999997" customHeight="1" x14ac:dyDescent="0.3">
      <c r="A352" s="9">
        <v>351</v>
      </c>
      <c r="B352" s="10" t="s">
        <v>664</v>
      </c>
      <c r="C352" s="10" t="s">
        <v>665</v>
      </c>
      <c r="D352" s="10" t="s">
        <v>978</v>
      </c>
      <c r="E352" s="10"/>
      <c r="F352" s="10"/>
      <c r="G352" s="10"/>
      <c r="H352" s="11"/>
      <c r="I352" s="11"/>
      <c r="J352" s="10"/>
      <c r="K352" s="16" t="str">
        <f>HYPERLINK("file:///C:/Users/kapil/OneDrive/Desktop/CPPandScripting/CPP_Data/Striver_DSA_Handwritten_Explanations.md#problem-351-introduction-to-graph","Notes P351")</f>
        <v>Notes P351</v>
      </c>
    </row>
    <row r="353" spans="1:11" ht="34.049999999999997" customHeight="1" x14ac:dyDescent="0.3">
      <c r="A353" s="12">
        <v>352</v>
      </c>
      <c r="B353" s="5" t="s">
        <v>666</v>
      </c>
      <c r="C353" s="5" t="s">
        <v>667</v>
      </c>
      <c r="D353" s="5"/>
      <c r="E353" s="5"/>
      <c r="F353" s="5"/>
      <c r="G353" s="5"/>
      <c r="H353" s="13"/>
      <c r="I353" s="13"/>
      <c r="J353" s="5"/>
      <c r="K353" s="17" t="str">
        <f>HYPERLINK("file:///C:/Users/kapil/OneDrive/Desktop/CPPandScripting/CPP_Data/Striver_DSA_Handwritten_Explanations.md#problem-352-graph-representation-c","Notes P352")</f>
        <v>Notes P352</v>
      </c>
    </row>
    <row r="354" spans="1:11" ht="34.049999999999997" customHeight="1" x14ac:dyDescent="0.3">
      <c r="A354" s="9">
        <v>353</v>
      </c>
      <c r="B354" s="10" t="s">
        <v>668</v>
      </c>
      <c r="C354" s="10" t="s">
        <v>665</v>
      </c>
      <c r="D354" s="10"/>
      <c r="E354" s="10"/>
      <c r="F354" s="10"/>
      <c r="G354" s="10"/>
      <c r="H354" s="11"/>
      <c r="I354" s="11"/>
      <c r="J354" s="10"/>
      <c r="K354" s="16" t="str">
        <f>HYPERLINK("file:///C:/Users/kapil/OneDrive/Desktop/CPPandScripting/CPP_Data/Striver_DSA_Handwritten_Explanations.md#problem-353-graph-representation-java","Notes P353")</f>
        <v>Notes P353</v>
      </c>
    </row>
    <row r="355" spans="1:11" ht="34.049999999999997" customHeight="1" x14ac:dyDescent="0.3">
      <c r="A355" s="12">
        <v>354</v>
      </c>
      <c r="B355" s="5" t="s">
        <v>669</v>
      </c>
      <c r="C355" s="5" t="s">
        <v>670</v>
      </c>
      <c r="D355" s="5"/>
      <c r="E355" s="5"/>
      <c r="F355" s="5"/>
      <c r="G355" s="5"/>
      <c r="H355" s="13"/>
      <c r="I355" s="13"/>
      <c r="J355" s="5"/>
      <c r="K355" s="17" t="str">
        <f>HYPERLINK("file:///C:/Users/kapil/OneDrive/Desktop/CPPandScripting/CPP_Data/Striver_DSA_Handwritten_Explanations.md#problem-354-connected-components","Notes P354")</f>
        <v>Notes P354</v>
      </c>
    </row>
    <row r="356" spans="1:11" ht="34.049999999999997" customHeight="1" x14ac:dyDescent="0.3">
      <c r="A356" s="9">
        <v>355</v>
      </c>
      <c r="B356" s="10" t="s">
        <v>671</v>
      </c>
      <c r="C356" s="10" t="s">
        <v>672</v>
      </c>
      <c r="D356" s="10" t="s">
        <v>979</v>
      </c>
      <c r="E356" s="10"/>
      <c r="F356" s="10"/>
      <c r="G356" s="10"/>
      <c r="H356" s="11"/>
      <c r="I356" s="11"/>
      <c r="J356" s="10"/>
      <c r="K356" s="16" t="str">
        <f>HYPERLINK("file:///C:/Users/kapil/OneDrive/Desktop/CPPandScripting/CPP_Data/Striver_DSA_Handwritten_Explanations.md#problem-355-traversal-techniques","Notes P355")</f>
        <v>Notes P355</v>
      </c>
    </row>
    <row r="357" spans="1:11" ht="34.049999999999997" customHeight="1" x14ac:dyDescent="0.3">
      <c r="A357" s="12">
        <v>356</v>
      </c>
      <c r="B357" s="5" t="s">
        <v>673</v>
      </c>
      <c r="C357" s="5" t="s">
        <v>672</v>
      </c>
      <c r="D357" s="5" t="s">
        <v>980</v>
      </c>
      <c r="E357" s="5"/>
      <c r="F357" s="5"/>
      <c r="G357" s="5"/>
      <c r="H357" s="13"/>
      <c r="I357" s="13"/>
      <c r="J357" s="5"/>
      <c r="K357" s="17" t="str">
        <f>HYPERLINK("file:///C:/Users/kapil/OneDrive/Desktop/CPPandScripting/CPP_Data/Striver_DSA_Handwritten_Explanations.md#problem-356-dfs","Notes P356")</f>
        <v>Notes P356</v>
      </c>
    </row>
    <row r="358" spans="1:11" ht="34.049999999999997" customHeight="1" x14ac:dyDescent="0.3">
      <c r="A358" s="9">
        <v>357</v>
      </c>
      <c r="B358" s="10" t="s">
        <v>674</v>
      </c>
      <c r="C358" s="10" t="s">
        <v>675</v>
      </c>
      <c r="D358" s="10" t="s">
        <v>981</v>
      </c>
      <c r="E358" s="10"/>
      <c r="F358" s="10"/>
      <c r="G358" s="10"/>
      <c r="H358" s="11"/>
      <c r="I358" s="11"/>
      <c r="J358" s="10"/>
      <c r="K358" s="16" t="str">
        <f>HYPERLINK("file:///C:/Users/kapil/OneDrive/Desktop/CPPandScripting/CPP_Data/Striver_DSA_Handwritten_Explanations.md#problem-357-number-of-provinces","Notes P357")</f>
        <v>Notes P357</v>
      </c>
    </row>
    <row r="359" spans="1:11" ht="34.049999999999997" customHeight="1" x14ac:dyDescent="0.3">
      <c r="A359" s="12">
        <v>358</v>
      </c>
      <c r="B359" s="5" t="s">
        <v>676</v>
      </c>
      <c r="C359" s="5" t="s">
        <v>670</v>
      </c>
      <c r="D359" s="5" t="s">
        <v>982</v>
      </c>
      <c r="E359" s="5"/>
      <c r="F359" s="5"/>
      <c r="G359" s="5"/>
      <c r="H359" s="13"/>
      <c r="I359" s="13"/>
      <c r="J359" s="5"/>
      <c r="K359" s="17" t="str">
        <f>HYPERLINK("file:///C:/Users/kapil/OneDrive/Desktop/CPPandScripting/CPP_Data/Striver_DSA_Handwritten_Explanations.md#problem-358-connected-components-problem-in-matrix","Notes P358")</f>
        <v>Notes P358</v>
      </c>
    </row>
    <row r="360" spans="1:11" ht="34.049999999999997" customHeight="1" x14ac:dyDescent="0.3">
      <c r="A360" s="9">
        <v>359</v>
      </c>
      <c r="B360" s="10" t="s">
        <v>677</v>
      </c>
      <c r="C360" s="10" t="s">
        <v>678</v>
      </c>
      <c r="D360" s="10" t="s">
        <v>983</v>
      </c>
      <c r="E360" s="10"/>
      <c r="F360" s="10"/>
      <c r="G360" s="10"/>
      <c r="H360" s="11"/>
      <c r="I360" s="11"/>
      <c r="J360" s="10"/>
      <c r="K360" s="16" t="str">
        <f>HYPERLINK("file:///C:/Users/kapil/OneDrive/Desktop/CPPandScripting/CPP_Data/Striver_DSA_Handwritten_Explanations.md#problem-359-rotten-oranges","Notes P359")</f>
        <v>Notes P359</v>
      </c>
    </row>
    <row r="361" spans="1:11" ht="34.049999999999997" customHeight="1" x14ac:dyDescent="0.3">
      <c r="A361" s="12">
        <v>360</v>
      </c>
      <c r="B361" s="5" t="s">
        <v>679</v>
      </c>
      <c r="C361" s="5" t="s">
        <v>680</v>
      </c>
      <c r="D361" s="5" t="s">
        <v>984</v>
      </c>
      <c r="E361" s="5"/>
      <c r="F361" s="5"/>
      <c r="G361" s="5"/>
      <c r="H361" s="13"/>
      <c r="I361" s="13"/>
      <c r="J361" s="5"/>
      <c r="K361" s="17" t="str">
        <f>HYPERLINK("file:///C:/Users/kapil/OneDrive/Desktop/CPPandScripting/CPP_Data/Striver_DSA_Handwritten_Explanations.md#problem-360-flood-fill-algorithm","Notes P360")</f>
        <v>Notes P360</v>
      </c>
    </row>
    <row r="362" spans="1:11" ht="34.049999999999997" customHeight="1" x14ac:dyDescent="0.3">
      <c r="A362" s="9">
        <v>361</v>
      </c>
      <c r="B362" s="10" t="s">
        <v>681</v>
      </c>
      <c r="C362" s="10" t="s">
        <v>682</v>
      </c>
      <c r="D362" s="10" t="s">
        <v>985</v>
      </c>
      <c r="E362" s="10"/>
      <c r="F362" s="10"/>
      <c r="G362" s="10"/>
      <c r="H362" s="11"/>
      <c r="I362" s="11"/>
      <c r="J362" s="10"/>
      <c r="K362" s="16" t="str">
        <f>HYPERLINK("file:///C:/Users/kapil/OneDrive/Desktop/CPPandScripting/CPP_Data/Striver_DSA_Handwritten_Explanations.md#problem-361-cycle-detection-in-undirected-graph-bfs","Notes P361")</f>
        <v>Notes P361</v>
      </c>
    </row>
    <row r="363" spans="1:11" ht="34.049999999999997" customHeight="1" x14ac:dyDescent="0.3">
      <c r="A363" s="12">
        <v>362</v>
      </c>
      <c r="B363" s="5" t="s">
        <v>683</v>
      </c>
      <c r="C363" s="5" t="s">
        <v>684</v>
      </c>
      <c r="D363" s="5" t="s">
        <v>986</v>
      </c>
      <c r="E363" s="5"/>
      <c r="F363" s="5"/>
      <c r="G363" s="5"/>
      <c r="H363" s="13"/>
      <c r="I363" s="13"/>
      <c r="J363" s="5"/>
      <c r="K363" s="17" t="str">
        <f>HYPERLINK("file:///C:/Users/kapil/OneDrive/Desktop/CPPandScripting/CPP_Data/Striver_DSA_Handwritten_Explanations.md#problem-362-detect-a-cycle-in-an-undirected-graph","Notes P362")</f>
        <v>Notes P362</v>
      </c>
    </row>
    <row r="364" spans="1:11" ht="34.049999999999997" customHeight="1" x14ac:dyDescent="0.3">
      <c r="A364" s="9">
        <v>363</v>
      </c>
      <c r="B364" s="10" t="s">
        <v>685</v>
      </c>
      <c r="C364" s="10" t="s">
        <v>686</v>
      </c>
      <c r="D364" s="10"/>
      <c r="E364" s="10"/>
      <c r="F364" s="10"/>
      <c r="G364" s="10"/>
      <c r="H364" s="11"/>
      <c r="I364" s="11"/>
      <c r="J364" s="10"/>
      <c r="K364" s="16" t="str">
        <f>HYPERLINK("file:///C:/Users/kapil/OneDrive/Desktop/CPPandScripting/CPP_Data/Striver_DSA_Handwritten_Explanations.md#problem-363-distance-of-nearest-cell-having-one","Notes P363")</f>
        <v>Notes P363</v>
      </c>
    </row>
    <row r="365" spans="1:11" ht="34.049999999999997" customHeight="1" x14ac:dyDescent="0.3">
      <c r="A365" s="12">
        <v>364</v>
      </c>
      <c r="B365" s="5" t="s">
        <v>687</v>
      </c>
      <c r="C365" s="5" t="s">
        <v>688</v>
      </c>
      <c r="D365" s="5"/>
      <c r="E365" s="5"/>
      <c r="F365" s="5"/>
      <c r="G365" s="5"/>
      <c r="H365" s="13"/>
      <c r="I365" s="13"/>
      <c r="J365" s="5"/>
      <c r="K365" s="17" t="str">
        <f>HYPERLINK("file:///C:/Users/kapil/OneDrive/Desktop/CPPandScripting/CPP_Data/Striver_DSA_Handwritten_Explanations.md#problem-364-surrounded-regions","Notes P364")</f>
        <v>Notes P364</v>
      </c>
    </row>
    <row r="366" spans="1:11" ht="34.049999999999997" customHeight="1" x14ac:dyDescent="0.3">
      <c r="A366" s="9">
        <v>365</v>
      </c>
      <c r="B366" s="10" t="s">
        <v>689</v>
      </c>
      <c r="C366" s="10" t="s">
        <v>690</v>
      </c>
      <c r="D366" s="10"/>
      <c r="E366" s="10"/>
      <c r="F366" s="10"/>
      <c r="G366" s="10"/>
      <c r="H366" s="11"/>
      <c r="I366" s="11"/>
      <c r="J366" s="10"/>
      <c r="K366" s="16" t="str">
        <f>HYPERLINK("file:///C:/Users/kapil/OneDrive/Desktop/CPPandScripting/CPP_Data/Striver_DSA_Handwritten_Explanations.md#problem-365-number-of-enclaves","Notes P365")</f>
        <v>Notes P365</v>
      </c>
    </row>
    <row r="367" spans="1:11" ht="34.049999999999997" customHeight="1" x14ac:dyDescent="0.3">
      <c r="A367" s="12">
        <v>366</v>
      </c>
      <c r="B367" s="5" t="s">
        <v>691</v>
      </c>
      <c r="C367" s="5" t="s">
        <v>692</v>
      </c>
      <c r="D367" s="5"/>
      <c r="E367" s="5"/>
      <c r="F367" s="5"/>
      <c r="G367" s="5"/>
      <c r="H367" s="13"/>
      <c r="I367" s="13"/>
      <c r="J367" s="5"/>
      <c r="K367" s="17" t="str">
        <f>HYPERLINK("file:///C:/Users/kapil/OneDrive/Desktop/CPPandScripting/CPP_Data/Striver_DSA_Handwritten_Explanations.md#problem-366-word-ladder-i","Notes P366")</f>
        <v>Notes P366</v>
      </c>
    </row>
    <row r="368" spans="1:11" ht="34.049999999999997" customHeight="1" x14ac:dyDescent="0.3">
      <c r="A368" s="9">
        <v>367</v>
      </c>
      <c r="B368" s="10" t="s">
        <v>693</v>
      </c>
      <c r="C368" s="10" t="s">
        <v>694</v>
      </c>
      <c r="D368" s="10"/>
      <c r="E368" s="10"/>
      <c r="F368" s="10"/>
      <c r="G368" s="10"/>
      <c r="H368" s="11"/>
      <c r="I368" s="11"/>
      <c r="J368" s="10"/>
      <c r="K368" s="16" t="str">
        <f>HYPERLINK("file:///C:/Users/kapil/OneDrive/Desktop/CPPandScripting/CPP_Data/Striver_DSA_Handwritten_Explanations.md#problem-367-word-ladder-ii","Notes P367")</f>
        <v>Notes P367</v>
      </c>
    </row>
    <row r="369" spans="1:11" ht="34.049999999999997" customHeight="1" x14ac:dyDescent="0.3">
      <c r="A369" s="12">
        <v>368</v>
      </c>
      <c r="B369" s="5" t="s">
        <v>695</v>
      </c>
      <c r="C369" s="5" t="s">
        <v>696</v>
      </c>
      <c r="D369" s="5" t="s">
        <v>982</v>
      </c>
      <c r="E369" s="5"/>
      <c r="F369" s="5"/>
      <c r="G369" s="5"/>
      <c r="H369" s="13"/>
      <c r="I369" s="13"/>
      <c r="J369" s="5"/>
      <c r="K369" s="17" t="str">
        <f>HYPERLINK("file:///C:/Users/kapil/OneDrive/Desktop/CPPandScripting/CPP_Data/Striver_DSA_Handwritten_Explanations.md#problem-368-number-of-islands","Notes P368")</f>
        <v>Notes P368</v>
      </c>
    </row>
    <row r="370" spans="1:11" ht="34.049999999999997" customHeight="1" x14ac:dyDescent="0.3">
      <c r="A370" s="9">
        <v>369</v>
      </c>
      <c r="B370" s="10" t="s">
        <v>697</v>
      </c>
      <c r="C370" s="10" t="s">
        <v>698</v>
      </c>
      <c r="D370" s="10"/>
      <c r="E370" s="10"/>
      <c r="F370" s="10"/>
      <c r="G370" s="10"/>
      <c r="H370" s="11"/>
      <c r="I370" s="11"/>
      <c r="J370" s="10"/>
      <c r="K370" s="16" t="str">
        <f>HYPERLINK("file:///C:/Users/kapil/OneDrive/Desktop/CPPandScripting/CPP_Data/Striver_DSA_Handwritten_Explanations.md#problem-369-bipartite-graph-dfs","Notes P369")</f>
        <v>Notes P369</v>
      </c>
    </row>
    <row r="371" spans="1:11" ht="34.049999999999997" customHeight="1" x14ac:dyDescent="0.3">
      <c r="A371" s="12">
        <v>370</v>
      </c>
      <c r="B371" s="5" t="s">
        <v>699</v>
      </c>
      <c r="C371" s="5" t="s">
        <v>700</v>
      </c>
      <c r="D371" s="5" t="s">
        <v>987</v>
      </c>
      <c r="E371" s="5"/>
      <c r="F371" s="5"/>
      <c r="G371" s="5"/>
      <c r="H371" s="13"/>
      <c r="I371" s="13"/>
      <c r="J371" s="5"/>
      <c r="K371" s="17" t="str">
        <f>HYPERLINK("file:///C:/Users/kapil/OneDrive/Desktop/CPPandScripting/CPP_Data/Striver_DSA_Handwritten_Explanations.md#problem-370-cycle-detection-in-directed-graph-dfs","Notes P370")</f>
        <v>Notes P370</v>
      </c>
    </row>
    <row r="372" spans="1:11" ht="34.049999999999997" customHeight="1" x14ac:dyDescent="0.3">
      <c r="A372" s="9">
        <v>371</v>
      </c>
      <c r="B372" s="10" t="s">
        <v>701</v>
      </c>
      <c r="C372" s="10" t="s">
        <v>702</v>
      </c>
      <c r="D372" s="10" t="s">
        <v>988</v>
      </c>
      <c r="E372" s="10"/>
      <c r="F372" s="10"/>
      <c r="G372" s="10"/>
      <c r="H372" s="11"/>
      <c r="I372" s="11"/>
      <c r="J372" s="10"/>
      <c r="K372" s="16" t="str">
        <f>HYPERLINK("file:///C:/Users/kapil/OneDrive/Desktop/CPPandScripting/CPP_Data/Striver_DSA_Handwritten_Explanations.md#problem-371-topo-sort","Notes P371")</f>
        <v>Notes P371</v>
      </c>
    </row>
    <row r="373" spans="1:11" ht="34.049999999999997" customHeight="1" x14ac:dyDescent="0.3">
      <c r="A373" s="12">
        <v>372</v>
      </c>
      <c r="B373" s="5" t="s">
        <v>703</v>
      </c>
      <c r="C373" s="5" t="s">
        <v>702</v>
      </c>
      <c r="D373" s="5" t="s">
        <v>989</v>
      </c>
      <c r="E373" s="5"/>
      <c r="F373" s="5"/>
      <c r="G373" s="5"/>
      <c r="H373" s="13"/>
      <c r="I373" s="13"/>
      <c r="J373" s="5"/>
      <c r="K373" s="17" t="str">
        <f>HYPERLINK("file:///C:/Users/kapil/OneDrive/Desktop/CPPandScripting/CPP_Data/Striver_DSA_Handwritten_Explanations.md#problem-372-topological-sort-or-kahn-s-algorithm","Notes P372")</f>
        <v>Notes P372</v>
      </c>
    </row>
    <row r="374" spans="1:11" ht="34.049999999999997" customHeight="1" x14ac:dyDescent="0.3">
      <c r="A374" s="9">
        <v>373</v>
      </c>
      <c r="B374" s="10" t="s">
        <v>704</v>
      </c>
      <c r="C374" s="10" t="s">
        <v>684</v>
      </c>
      <c r="D374" s="10" t="s">
        <v>987</v>
      </c>
      <c r="E374" s="10"/>
      <c r="F374" s="10"/>
      <c r="G374" s="10"/>
      <c r="H374" s="11"/>
      <c r="I374" s="11"/>
      <c r="J374" s="10"/>
      <c r="K374" s="16" t="str">
        <f>HYPERLINK("file:///C:/Users/kapil/OneDrive/Desktop/CPPandScripting/CPP_Data/Striver_DSA_Handwritten_Explanations.md#problem-373-detect-a-cycle-in-a-directed-graph","Notes P373")</f>
        <v>Notes P373</v>
      </c>
    </row>
    <row r="375" spans="1:11" ht="34.049999999999997" customHeight="1" x14ac:dyDescent="0.3">
      <c r="A375" s="12">
        <v>374</v>
      </c>
      <c r="B375" s="5" t="s">
        <v>705</v>
      </c>
      <c r="C375" s="5" t="s">
        <v>684</v>
      </c>
      <c r="D375" s="5" t="s">
        <v>990</v>
      </c>
      <c r="E375" s="5"/>
      <c r="F375" s="5"/>
      <c r="G375" s="5"/>
      <c r="H375" s="13"/>
      <c r="I375" s="13"/>
      <c r="J375" s="5"/>
      <c r="K375" s="17" t="str">
        <f>HYPERLINK("file:///C:/Users/kapil/OneDrive/Desktop/CPPandScripting/CPP_Data/Striver_DSA_Handwritten_Explanations.md#problem-374-course-schedule-i","Notes P374")</f>
        <v>Notes P374</v>
      </c>
    </row>
    <row r="376" spans="1:11" ht="34.049999999999997" customHeight="1" x14ac:dyDescent="0.3">
      <c r="A376" s="9">
        <v>375</v>
      </c>
      <c r="B376" s="10" t="s">
        <v>706</v>
      </c>
      <c r="C376" s="10" t="s">
        <v>707</v>
      </c>
      <c r="D376" s="10" t="s">
        <v>991</v>
      </c>
      <c r="E376" s="10"/>
      <c r="F376" s="10"/>
      <c r="G376" s="10"/>
      <c r="H376" s="11"/>
      <c r="I376" s="11"/>
      <c r="J376" s="10"/>
      <c r="K376" s="16" t="str">
        <f>HYPERLINK("file:///C:/Users/kapil/OneDrive/Desktop/CPPandScripting/CPP_Data/Striver_DSA_Handwritten_Explanations.md#problem-375-course-schedule-ii","Notes P375")</f>
        <v>Notes P375</v>
      </c>
    </row>
    <row r="377" spans="1:11" ht="34.049999999999997" customHeight="1" x14ac:dyDescent="0.3">
      <c r="A377" s="12">
        <v>376</v>
      </c>
      <c r="B377" s="5" t="s">
        <v>708</v>
      </c>
      <c r="C377" s="5" t="s">
        <v>709</v>
      </c>
      <c r="D377" s="5"/>
      <c r="E377" s="5"/>
      <c r="F377" s="5"/>
      <c r="G377" s="5"/>
      <c r="H377" s="13"/>
      <c r="I377" s="13"/>
      <c r="J377" s="5"/>
      <c r="K377" s="17" t="str">
        <f>HYPERLINK("file:///C:/Users/kapil/OneDrive/Desktop/CPPandScripting/CPP_Data/Striver_DSA_Handwritten_Explanations.md#problem-376-find-eventual-safe-states","Notes P376")</f>
        <v>Notes P376</v>
      </c>
    </row>
    <row r="378" spans="1:11" ht="34.049999999999997" customHeight="1" x14ac:dyDescent="0.3">
      <c r="A378" s="9">
        <v>377</v>
      </c>
      <c r="B378" s="10" t="s">
        <v>710</v>
      </c>
      <c r="C378" s="10" t="s">
        <v>711</v>
      </c>
      <c r="D378" s="10"/>
      <c r="E378" s="10"/>
      <c r="F378" s="10"/>
      <c r="G378" s="10"/>
      <c r="H378" s="11"/>
      <c r="I378" s="11"/>
      <c r="J378" s="10"/>
      <c r="K378" s="16" t="str">
        <f>HYPERLINK("file:///C:/Users/kapil/OneDrive/Desktop/CPPandScripting/CPP_Data/Striver_DSA_Handwritten_Explanations.md#problem-377-alien-dictionary","Notes P377")</f>
        <v>Notes P377</v>
      </c>
    </row>
    <row r="379" spans="1:11" ht="34.049999999999997" customHeight="1" x14ac:dyDescent="0.3">
      <c r="A379" s="12">
        <v>378</v>
      </c>
      <c r="B379" s="5" t="s">
        <v>712</v>
      </c>
      <c r="C379" s="5" t="s">
        <v>713</v>
      </c>
      <c r="D379" s="5"/>
      <c r="E379" s="5"/>
      <c r="F379" s="5"/>
      <c r="G379" s="5"/>
      <c r="H379" s="13"/>
      <c r="I379" s="13"/>
      <c r="J379" s="5"/>
      <c r="K379" s="17" t="str">
        <f>HYPERLINK("file:///C:/Users/kapil/OneDrive/Desktop/CPPandScripting/CPP_Data/Striver_DSA_Handwritten_Explanations.md#problem-378-shortest-path-in-undirected-graph-with-unit-weight","Notes P378")</f>
        <v>Notes P378</v>
      </c>
    </row>
    <row r="380" spans="1:11" ht="34.049999999999997" customHeight="1" x14ac:dyDescent="0.3">
      <c r="A380" s="9">
        <v>379</v>
      </c>
      <c r="B380" s="10" t="s">
        <v>714</v>
      </c>
      <c r="C380" s="10" t="s">
        <v>715</v>
      </c>
      <c r="D380" s="10"/>
      <c r="E380" s="10"/>
      <c r="F380" s="10"/>
      <c r="G380" s="10"/>
      <c r="H380" s="11"/>
      <c r="I380" s="11"/>
      <c r="J380" s="10"/>
      <c r="K380" s="16" t="str">
        <f>HYPERLINK("file:///C:/Users/kapil/OneDrive/Desktop/CPPandScripting/CPP_Data/Striver_DSA_Handwritten_Explanations.md#problem-379-shortest-path-in-dag","Notes P379")</f>
        <v>Notes P379</v>
      </c>
    </row>
    <row r="381" spans="1:11" ht="34.049999999999997" customHeight="1" x14ac:dyDescent="0.3">
      <c r="A381" s="12">
        <v>380</v>
      </c>
      <c r="B381" s="5" t="s">
        <v>716</v>
      </c>
      <c r="C381" s="5" t="s">
        <v>717</v>
      </c>
      <c r="D381" s="5" t="s">
        <v>992</v>
      </c>
      <c r="E381" s="5"/>
      <c r="F381" s="5"/>
      <c r="G381" s="5"/>
      <c r="H381" s="13"/>
      <c r="I381" s="13"/>
      <c r="J381" s="5"/>
      <c r="K381" s="17" t="str">
        <f>HYPERLINK("file:///C:/Users/kapil/OneDrive/Desktop/CPPandScripting/CPP_Data/Striver_DSA_Handwritten_Explanations.md#problem-380-djisktra-s-algorithm","Notes P380")</f>
        <v>Notes P380</v>
      </c>
    </row>
    <row r="382" spans="1:11" ht="34.049999999999997" customHeight="1" x14ac:dyDescent="0.3">
      <c r="A382" s="9">
        <v>381</v>
      </c>
      <c r="B382" s="10" t="s">
        <v>718</v>
      </c>
      <c r="C382" s="10" t="s">
        <v>719</v>
      </c>
      <c r="D382" s="10"/>
      <c r="E382" s="10"/>
      <c r="F382" s="10"/>
      <c r="G382" s="10"/>
      <c r="H382" s="11"/>
      <c r="I382" s="11"/>
      <c r="J382" s="10"/>
      <c r="K382" s="16" t="str">
        <f>HYPERLINK("file:///C:/Users/kapil/OneDrive/Desktop/CPPandScripting/CPP_Data/Striver_DSA_Handwritten_Explanations.md#problem-381-why-priority-queue-is-used-in-djisktra-s-algorithm","Notes P381")</f>
        <v>Notes P381</v>
      </c>
    </row>
    <row r="383" spans="1:11" ht="34.049999999999997" customHeight="1" x14ac:dyDescent="0.3">
      <c r="A383" s="12">
        <v>382</v>
      </c>
      <c r="B383" s="5" t="s">
        <v>720</v>
      </c>
      <c r="C383" s="5" t="s">
        <v>721</v>
      </c>
      <c r="D383" s="5"/>
      <c r="E383" s="5"/>
      <c r="F383" s="5"/>
      <c r="G383" s="5"/>
      <c r="H383" s="13"/>
      <c r="I383" s="13"/>
      <c r="J383" s="5"/>
      <c r="K383" s="17" t="str">
        <f>HYPERLINK("file:///C:/Users/kapil/OneDrive/Desktop/CPPandScripting/CPP_Data/Striver_DSA_Handwritten_Explanations.md#problem-382-shortest-distance-in-a-binary-maze","Notes P382")</f>
        <v>Notes P382</v>
      </c>
    </row>
    <row r="384" spans="1:11" ht="34.049999999999997" customHeight="1" x14ac:dyDescent="0.3">
      <c r="A384" s="9">
        <v>383</v>
      </c>
      <c r="B384" s="10" t="s">
        <v>722</v>
      </c>
      <c r="C384" s="10" t="s">
        <v>723</v>
      </c>
      <c r="D384" s="10"/>
      <c r="E384" s="10"/>
      <c r="F384" s="10"/>
      <c r="G384" s="10"/>
      <c r="H384" s="11"/>
      <c r="I384" s="11"/>
      <c r="J384" s="10"/>
      <c r="K384" s="16" t="str">
        <f>HYPERLINK("file:///C:/Users/kapil/OneDrive/Desktop/CPPandScripting/CPP_Data/Striver_DSA_Handwritten_Explanations.md#problem-383-path-with-minimum-effort","Notes P383")</f>
        <v>Notes P383</v>
      </c>
    </row>
    <row r="385" spans="1:11" ht="34.049999999999997" customHeight="1" x14ac:dyDescent="0.3">
      <c r="A385" s="12">
        <v>384</v>
      </c>
      <c r="B385" s="5" t="s">
        <v>724</v>
      </c>
      <c r="C385" s="5" t="s">
        <v>725</v>
      </c>
      <c r="D385" s="5" t="s">
        <v>993</v>
      </c>
      <c r="E385" s="5"/>
      <c r="F385" s="5"/>
      <c r="G385" s="5"/>
      <c r="H385" s="13"/>
      <c r="I385" s="13"/>
      <c r="J385" s="5"/>
      <c r="K385" s="17" t="str">
        <f>HYPERLINK("file:///C:/Users/kapil/OneDrive/Desktop/CPPandScripting/CPP_Data/Striver_DSA_Handwritten_Explanations.md#problem-384-cheapest-flight-within-k-stops","Notes P384")</f>
        <v>Notes P384</v>
      </c>
    </row>
    <row r="386" spans="1:11" ht="34.049999999999997" customHeight="1" x14ac:dyDescent="0.3">
      <c r="A386" s="9">
        <v>385</v>
      </c>
      <c r="B386" s="10" t="s">
        <v>726</v>
      </c>
      <c r="C386" s="10" t="s">
        <v>727</v>
      </c>
      <c r="D386" s="10"/>
      <c r="E386" s="10"/>
      <c r="F386" s="10"/>
      <c r="G386" s="10"/>
      <c r="H386" s="11"/>
      <c r="I386" s="11"/>
      <c r="J386" s="10"/>
      <c r="K386" s="16" t="str">
        <f>HYPERLINK("file:///C:/Users/kapil/OneDrive/Desktop/CPPandScripting/CPP_Data/Striver_DSA_Handwritten_Explanations.md#problem-385-network-delay-time","Notes P385")</f>
        <v>Notes P385</v>
      </c>
    </row>
    <row r="387" spans="1:11" ht="34.049999999999997" customHeight="1" x14ac:dyDescent="0.3">
      <c r="A387" s="12">
        <v>386</v>
      </c>
      <c r="B387" s="5" t="s">
        <v>728</v>
      </c>
      <c r="C387" s="5" t="s">
        <v>729</v>
      </c>
      <c r="D387" s="5"/>
      <c r="E387" s="5"/>
      <c r="F387" s="5"/>
      <c r="G387" s="5"/>
      <c r="H387" s="13"/>
      <c r="I387" s="13"/>
      <c r="J387" s="5"/>
      <c r="K387" s="17" t="str">
        <f>HYPERLINK("file:///C:/Users/kapil/OneDrive/Desktop/CPPandScripting/CPP_Data/Striver_DSA_Handwritten_Explanations.md#problem-386-number-of-ways-to-arrive-at-destination","Notes P386")</f>
        <v>Notes P386</v>
      </c>
    </row>
    <row r="388" spans="1:11" ht="34.049999999999997" customHeight="1" x14ac:dyDescent="0.3">
      <c r="A388" s="9">
        <v>387</v>
      </c>
      <c r="B388" s="10" t="s">
        <v>730</v>
      </c>
      <c r="C388" s="10" t="s">
        <v>731</v>
      </c>
      <c r="D388" s="10"/>
      <c r="E388" s="10"/>
      <c r="F388" s="10"/>
      <c r="G388" s="10"/>
      <c r="H388" s="11"/>
      <c r="I388" s="11"/>
      <c r="J388" s="10"/>
      <c r="K388" s="16" t="str">
        <f>HYPERLINK("file:///C:/Users/kapil/OneDrive/Desktop/CPPandScripting/CPP_Data/Striver_DSA_Handwritten_Explanations.md#problem-387-minimum-multiplications-to-reach-end","Notes P387")</f>
        <v>Notes P387</v>
      </c>
    </row>
    <row r="389" spans="1:11" ht="34.049999999999997" customHeight="1" x14ac:dyDescent="0.3">
      <c r="A389" s="12">
        <v>388</v>
      </c>
      <c r="B389" s="5" t="s">
        <v>732</v>
      </c>
      <c r="C389" s="5" t="s">
        <v>733</v>
      </c>
      <c r="D389" s="5" t="s">
        <v>994</v>
      </c>
      <c r="E389" s="5"/>
      <c r="F389" s="5"/>
      <c r="G389" s="5"/>
      <c r="H389" s="13"/>
      <c r="I389" s="13"/>
      <c r="J389" s="5"/>
      <c r="K389" s="17" t="str">
        <f>HYPERLINK("file:///C:/Users/kapil/OneDrive/Desktop/CPPandScripting/CPP_Data/Striver_DSA_Handwritten_Explanations.md#problem-388-bellman-ford-algorithm","Notes P388")</f>
        <v>Notes P388</v>
      </c>
    </row>
    <row r="390" spans="1:11" ht="34.049999999999997" customHeight="1" x14ac:dyDescent="0.3">
      <c r="A390" s="9">
        <v>389</v>
      </c>
      <c r="B390" s="10" t="s">
        <v>734</v>
      </c>
      <c r="C390" s="10" t="s">
        <v>735</v>
      </c>
      <c r="D390" s="10" t="s">
        <v>995</v>
      </c>
      <c r="E390" s="10"/>
      <c r="F390" s="10"/>
      <c r="G390" s="10"/>
      <c r="H390" s="11"/>
      <c r="I390" s="11"/>
      <c r="J390" s="10"/>
      <c r="K390" s="16" t="str">
        <f>HYPERLINK("file:///C:/Users/kapil/OneDrive/Desktop/CPPandScripting/CPP_Data/Striver_DSA_Handwritten_Explanations.md#problem-389-floyd-warshall-algorithm","Notes P389")</f>
        <v>Notes P389</v>
      </c>
    </row>
    <row r="391" spans="1:11" ht="34.049999999999997" customHeight="1" x14ac:dyDescent="0.3">
      <c r="A391" s="12">
        <v>390</v>
      </c>
      <c r="B391" s="5" t="s">
        <v>736</v>
      </c>
      <c r="C391" s="5" t="s">
        <v>737</v>
      </c>
      <c r="D391" s="5"/>
      <c r="E391" s="5"/>
      <c r="F391" s="5"/>
      <c r="G391" s="5"/>
      <c r="H391" s="13"/>
      <c r="I391" s="13"/>
      <c r="J391" s="5"/>
      <c r="K391" s="17" t="str">
        <f>HYPERLINK("file:///C:/Users/kapil/OneDrive/Desktop/CPPandScripting/CPP_Data/Striver_DSA_Handwritten_Explanations.md#problem-390-find-the-city-with-the-smallest-number-of-neighbor","Notes P390")</f>
        <v>Notes P390</v>
      </c>
    </row>
    <row r="392" spans="1:11" ht="34.049999999999997" customHeight="1" x14ac:dyDescent="0.3">
      <c r="A392" s="9">
        <v>391</v>
      </c>
      <c r="B392" s="10" t="s">
        <v>738</v>
      </c>
      <c r="C392" s="10" t="s">
        <v>739</v>
      </c>
      <c r="D392" s="10"/>
      <c r="E392" s="10"/>
      <c r="F392" s="10"/>
      <c r="G392" s="10"/>
      <c r="H392" s="11"/>
      <c r="I392" s="11"/>
      <c r="J392" s="10"/>
      <c r="K392" s="16" t="str">
        <f>HYPERLINK("file:///C:/Users/kapil/OneDrive/Desktop/CPPandScripting/CPP_Data/Striver_DSA_Handwritten_Explanations.md#problem-391-mst-theory","Notes P391")</f>
        <v>Notes P391</v>
      </c>
    </row>
    <row r="393" spans="1:11" ht="34.049999999999997" customHeight="1" x14ac:dyDescent="0.3">
      <c r="A393" s="12">
        <v>392</v>
      </c>
      <c r="B393" s="5" t="s">
        <v>740</v>
      </c>
      <c r="C393" s="5" t="s">
        <v>741</v>
      </c>
      <c r="D393" s="5" t="s">
        <v>996</v>
      </c>
      <c r="E393" s="5"/>
      <c r="F393" s="5"/>
      <c r="G393" s="5"/>
      <c r="H393" s="13"/>
      <c r="I393" s="13"/>
      <c r="J393" s="5"/>
      <c r="K393" s="17" t="str">
        <f>HYPERLINK("file:///C:/Users/kapil/OneDrive/Desktop/CPPandScripting/CPP_Data/Striver_DSA_Handwritten_Explanations.md#problem-392-prim-s-algorithm","Notes P392")</f>
        <v>Notes P392</v>
      </c>
    </row>
    <row r="394" spans="1:11" ht="34.049999999999997" customHeight="1" x14ac:dyDescent="0.3">
      <c r="A394" s="9">
        <v>393</v>
      </c>
      <c r="B394" s="10" t="s">
        <v>742</v>
      </c>
      <c r="C394" s="10" t="s">
        <v>743</v>
      </c>
      <c r="D394" s="10" t="s">
        <v>997</v>
      </c>
      <c r="E394" s="10"/>
      <c r="F394" s="10"/>
      <c r="G394" s="10"/>
      <c r="H394" s="11"/>
      <c r="I394" s="11"/>
      <c r="J394" s="10"/>
      <c r="K394" s="16" t="str">
        <f>HYPERLINK("file:///C:/Users/kapil/OneDrive/Desktop/CPPandScripting/CPP_Data/Striver_DSA_Handwritten_Explanations.md#problem-393-disjoint-set","Notes P393")</f>
        <v>Notes P393</v>
      </c>
    </row>
    <row r="395" spans="1:11" ht="34.049999999999997" customHeight="1" x14ac:dyDescent="0.3">
      <c r="A395" s="12">
        <v>394</v>
      </c>
      <c r="B395" s="5" t="s">
        <v>744</v>
      </c>
      <c r="C395" s="5" t="s">
        <v>741</v>
      </c>
      <c r="D395" s="5" t="s">
        <v>998</v>
      </c>
      <c r="E395" s="5"/>
      <c r="F395" s="5"/>
      <c r="G395" s="5"/>
      <c r="H395" s="13"/>
      <c r="I395" s="13"/>
      <c r="J395" s="5"/>
      <c r="K395" s="17" t="str">
        <f>HYPERLINK("file:///C:/Users/kapil/OneDrive/Desktop/CPPandScripting/CPP_Data/Striver_DSA_Handwritten_Explanations.md#problem-394-find-the-mst-weight","Notes P394")</f>
        <v>Notes P394</v>
      </c>
    </row>
    <row r="396" spans="1:11" ht="34.049999999999997" customHeight="1" x14ac:dyDescent="0.3">
      <c r="A396" s="9">
        <v>395</v>
      </c>
      <c r="B396" s="10" t="s">
        <v>745</v>
      </c>
      <c r="C396" s="10" t="s">
        <v>746</v>
      </c>
      <c r="D396" s="10"/>
      <c r="E396" s="10"/>
      <c r="F396" s="10"/>
      <c r="G396" s="10"/>
      <c r="H396" s="11"/>
      <c r="I396" s="11"/>
      <c r="J396" s="10"/>
      <c r="K396" s="16" t="str">
        <f>HYPERLINK("file:///C:/Users/kapil/OneDrive/Desktop/CPPandScripting/CPP_Data/Striver_DSA_Handwritten_Explanations.md#problem-395-number-of-operations-to-make-network-connected","Notes P395")</f>
        <v>Notes P395</v>
      </c>
    </row>
    <row r="397" spans="1:11" ht="34.049999999999997" customHeight="1" x14ac:dyDescent="0.3">
      <c r="A397" s="12">
        <v>396</v>
      </c>
      <c r="B397" s="5" t="s">
        <v>747</v>
      </c>
      <c r="C397" s="5" t="s">
        <v>748</v>
      </c>
      <c r="D397" s="5"/>
      <c r="E397" s="5"/>
      <c r="F397" s="5"/>
      <c r="G397" s="5"/>
      <c r="H397" s="13"/>
      <c r="I397" s="13"/>
      <c r="J397" s="5"/>
      <c r="K397" s="17" t="str">
        <f>HYPERLINK("file:///C:/Users/kapil/OneDrive/Desktop/CPPandScripting/CPP_Data/Striver_DSA_Handwritten_Explanations.md#problem-396-most-stones-removed-with-same-row-or-column","Notes P396")</f>
        <v>Notes P396</v>
      </c>
    </row>
    <row r="398" spans="1:11" ht="34.049999999999997" customHeight="1" x14ac:dyDescent="0.3">
      <c r="A398" s="9">
        <v>397</v>
      </c>
      <c r="B398" s="10" t="s">
        <v>749</v>
      </c>
      <c r="C398" s="10" t="s">
        <v>750</v>
      </c>
      <c r="D398" s="10"/>
      <c r="E398" s="10"/>
      <c r="F398" s="10"/>
      <c r="G398" s="10"/>
      <c r="H398" s="11"/>
      <c r="I398" s="11"/>
      <c r="J398" s="10"/>
      <c r="K398" s="16" t="str">
        <f>HYPERLINK("file:///C:/Users/kapil/OneDrive/Desktop/CPPandScripting/CPP_Data/Striver_DSA_Handwritten_Explanations.md#problem-397-accounts-merge","Notes P397")</f>
        <v>Notes P397</v>
      </c>
    </row>
    <row r="399" spans="1:11" ht="34.049999999999997" customHeight="1" x14ac:dyDescent="0.3">
      <c r="A399" s="12">
        <v>398</v>
      </c>
      <c r="B399" s="5" t="s">
        <v>751</v>
      </c>
      <c r="C399" s="5" t="s">
        <v>752</v>
      </c>
      <c r="D399" s="5"/>
      <c r="E399" s="5"/>
      <c r="F399" s="5"/>
      <c r="G399" s="5"/>
      <c r="H399" s="13"/>
      <c r="I399" s="13"/>
      <c r="J399" s="5"/>
      <c r="K399" s="17" t="str">
        <f>HYPERLINK("file:///C:/Users/kapil/OneDrive/Desktop/CPPandScripting/CPP_Data/Striver_DSA_Handwritten_Explanations.md#problem-398-number-of-islands-ii","Notes P398")</f>
        <v>Notes P398</v>
      </c>
    </row>
    <row r="400" spans="1:11" ht="34.049999999999997" customHeight="1" x14ac:dyDescent="0.3">
      <c r="A400" s="9">
        <v>399</v>
      </c>
      <c r="B400" s="10" t="s">
        <v>753</v>
      </c>
      <c r="C400" s="10" t="s">
        <v>754</v>
      </c>
      <c r="D400" s="10"/>
      <c r="E400" s="10"/>
      <c r="F400" s="10"/>
      <c r="G400" s="10"/>
      <c r="H400" s="11"/>
      <c r="I400" s="11"/>
      <c r="J400" s="10"/>
      <c r="K400" s="16" t="str">
        <f>HYPERLINK("file:///C:/Users/kapil/OneDrive/Desktop/CPPandScripting/CPP_Data/Striver_DSA_Handwritten_Explanations.md#problem-399-making-a-large-island","Notes P399")</f>
        <v>Notes P399</v>
      </c>
    </row>
    <row r="401" spans="1:11" ht="34.049999999999997" customHeight="1" x14ac:dyDescent="0.3">
      <c r="A401" s="12">
        <v>400</v>
      </c>
      <c r="B401" s="5" t="s">
        <v>755</v>
      </c>
      <c r="C401" s="5" t="s">
        <v>756</v>
      </c>
      <c r="D401" s="5"/>
      <c r="E401" s="5"/>
      <c r="F401" s="5"/>
      <c r="G401" s="5"/>
      <c r="H401" s="13"/>
      <c r="I401" s="13"/>
      <c r="J401" s="5"/>
      <c r="K401" s="17" t="str">
        <f>HYPERLINK("file:///C:/Users/kapil/OneDrive/Desktop/CPPandScripting/CPP_Data/Striver_DSA_Handwritten_Explanations.md#problem-400-swim-in-rising-water","Notes P400")</f>
        <v>Notes P400</v>
      </c>
    </row>
    <row r="402" spans="1:11" ht="34.049999999999997" customHeight="1" x14ac:dyDescent="0.3">
      <c r="A402" s="9">
        <v>401</v>
      </c>
      <c r="B402" s="10" t="s">
        <v>757</v>
      </c>
      <c r="C402" s="10" t="s">
        <v>758</v>
      </c>
      <c r="D402" s="10" t="s">
        <v>999</v>
      </c>
      <c r="E402" s="10"/>
      <c r="F402" s="10"/>
      <c r="G402" s="10"/>
      <c r="H402" s="11"/>
      <c r="I402" s="11"/>
      <c r="J402" s="10"/>
      <c r="K402" s="16" t="str">
        <f>HYPERLINK("file:///C:/Users/kapil/OneDrive/Desktop/CPPandScripting/CPP_Data/Striver_DSA_Handwritten_Explanations.md#problem-401-bridges-in-graph","Notes P401")</f>
        <v>Notes P401</v>
      </c>
    </row>
    <row r="403" spans="1:11" ht="34.049999999999997" customHeight="1" x14ac:dyDescent="0.3">
      <c r="A403" s="12">
        <v>402</v>
      </c>
      <c r="B403" s="5" t="s">
        <v>759</v>
      </c>
      <c r="C403" s="5" t="s">
        <v>760</v>
      </c>
      <c r="D403" s="5" t="s">
        <v>1000</v>
      </c>
      <c r="E403" s="5"/>
      <c r="F403" s="5"/>
      <c r="G403" s="5"/>
      <c r="H403" s="13"/>
      <c r="I403" s="13"/>
      <c r="J403" s="5"/>
      <c r="K403" s="17" t="str">
        <f>HYPERLINK("file:///C:/Users/kapil/OneDrive/Desktop/CPPandScripting/CPP_Data/Striver_DSA_Handwritten_Explanations.md#problem-402-articulation-point-in-graph","Notes P402")</f>
        <v>Notes P402</v>
      </c>
    </row>
    <row r="404" spans="1:11" ht="34.049999999999997" customHeight="1" x14ac:dyDescent="0.3">
      <c r="A404" s="9">
        <v>403</v>
      </c>
      <c r="B404" s="10" t="s">
        <v>761</v>
      </c>
      <c r="C404" s="10" t="s">
        <v>762</v>
      </c>
      <c r="D404" s="10" t="s">
        <v>1001</v>
      </c>
      <c r="E404" s="10"/>
      <c r="F404" s="10"/>
      <c r="G404" s="10"/>
      <c r="H404" s="11"/>
      <c r="I404" s="11"/>
      <c r="J404" s="10"/>
      <c r="K404" s="16" t="str">
        <f>HYPERLINK("file:///C:/Users/kapil/OneDrive/Desktop/CPPandScripting/CPP_Data/Striver_DSA_Handwritten_Explanations.md#problem-403-kosaraju-s-algorithm","Notes P403")</f>
        <v>Notes P403</v>
      </c>
    </row>
    <row r="405" spans="1:11" ht="34.049999999999997" customHeight="1" x14ac:dyDescent="0.3">
      <c r="A405" s="12">
        <v>404</v>
      </c>
      <c r="B405" s="5" t="s">
        <v>763</v>
      </c>
      <c r="C405" s="5" t="s">
        <v>764</v>
      </c>
      <c r="D405" s="5"/>
      <c r="E405" s="5"/>
      <c r="F405" s="5"/>
      <c r="G405" s="5"/>
      <c r="H405" s="13"/>
      <c r="I405" s="13"/>
      <c r="J405" s="5"/>
      <c r="K405" s="17" t="str">
        <f>HYPERLINK("file:///C:/Users/kapil/OneDrive/Desktop/CPPandScripting/CPP_Data/Striver_DSA_Handwritten_Explanations.md#problem-404-introduction-to-dp","Notes P404")</f>
        <v>Notes P404</v>
      </c>
    </row>
    <row r="406" spans="1:11" ht="34.049999999999997" customHeight="1" x14ac:dyDescent="0.3">
      <c r="A406" s="9">
        <v>405</v>
      </c>
      <c r="B406" s="10" t="s">
        <v>765</v>
      </c>
      <c r="C406" s="10" t="s">
        <v>766</v>
      </c>
      <c r="D406" s="10"/>
      <c r="E406" s="10"/>
      <c r="F406" s="10"/>
      <c r="G406" s="10"/>
      <c r="H406" s="11"/>
      <c r="I406" s="11"/>
      <c r="J406" s="10"/>
      <c r="K406" s="16" t="str">
        <f>HYPERLINK("file:///C:/Users/kapil/OneDrive/Desktop/CPPandScripting/CPP_Data/Striver_DSA_Handwritten_Explanations.md#problem-405-climbing-stairs","Notes P405")</f>
        <v>Notes P405</v>
      </c>
    </row>
    <row r="407" spans="1:11" ht="34.049999999999997" customHeight="1" x14ac:dyDescent="0.3">
      <c r="A407" s="12">
        <v>406</v>
      </c>
      <c r="B407" s="5" t="s">
        <v>767</v>
      </c>
      <c r="C407" s="5" t="s">
        <v>768</v>
      </c>
      <c r="D407" s="5"/>
      <c r="E407" s="5"/>
      <c r="F407" s="5"/>
      <c r="G407" s="5"/>
      <c r="H407" s="13"/>
      <c r="I407" s="13"/>
      <c r="J407" s="5"/>
      <c r="K407" s="17" t="str">
        <f>HYPERLINK("file:///C:/Users/kapil/OneDrive/Desktop/CPPandScripting/CPP_Data/Striver_DSA_Handwritten_Explanations.md#problem-406-frog-jump","Notes P406")</f>
        <v>Notes P406</v>
      </c>
    </row>
    <row r="408" spans="1:11" ht="34.049999999999997" customHeight="1" x14ac:dyDescent="0.3">
      <c r="A408" s="9">
        <v>407</v>
      </c>
      <c r="B408" s="10" t="s">
        <v>769</v>
      </c>
      <c r="C408" s="10" t="s">
        <v>770</v>
      </c>
      <c r="D408" s="10"/>
      <c r="E408" s="10"/>
      <c r="F408" s="10"/>
      <c r="G408" s="10"/>
      <c r="H408" s="11"/>
      <c r="I408" s="11"/>
      <c r="J408" s="10"/>
      <c r="K408" s="16" t="str">
        <f>HYPERLINK("file:///C:/Users/kapil/OneDrive/Desktop/CPPandScripting/CPP_Data/Striver_DSA_Handwritten_Explanations.md#problem-407-frog-jump-with-k-distances","Notes P407")</f>
        <v>Notes P407</v>
      </c>
    </row>
    <row r="409" spans="1:11" ht="34.049999999999997" customHeight="1" x14ac:dyDescent="0.3">
      <c r="A409" s="12">
        <v>408</v>
      </c>
      <c r="B409" s="5" t="s">
        <v>771</v>
      </c>
      <c r="C409" s="5" t="s">
        <v>772</v>
      </c>
      <c r="D409" s="5"/>
      <c r="E409" s="5"/>
      <c r="F409" s="5"/>
      <c r="G409" s="5"/>
      <c r="H409" s="13"/>
      <c r="I409" s="13"/>
      <c r="J409" s="5"/>
      <c r="K409" s="17" t="str">
        <f>HYPERLINK("file:///C:/Users/kapil/OneDrive/Desktop/CPPandScripting/CPP_Data/Striver_DSA_Handwritten_Explanations.md#problem-408-maximum-sum-of-non-adjacent-elements","Notes P408")</f>
        <v>Notes P408</v>
      </c>
    </row>
    <row r="410" spans="1:11" ht="34.049999999999997" customHeight="1" x14ac:dyDescent="0.3">
      <c r="A410" s="9">
        <v>409</v>
      </c>
      <c r="B410" s="10" t="s">
        <v>773</v>
      </c>
      <c r="C410" s="10" t="s">
        <v>774</v>
      </c>
      <c r="D410" s="10"/>
      <c r="E410" s="10"/>
      <c r="F410" s="10"/>
      <c r="G410" s="10"/>
      <c r="H410" s="11"/>
      <c r="I410" s="11"/>
      <c r="J410" s="10"/>
      <c r="K410" s="16" t="str">
        <f>HYPERLINK("file:///C:/Users/kapil/OneDrive/Desktop/CPPandScripting/CPP_Data/Striver_DSA_Handwritten_Explanations.md#problem-409-house-robber","Notes P409")</f>
        <v>Notes P409</v>
      </c>
    </row>
    <row r="411" spans="1:11" ht="34.049999999999997" customHeight="1" x14ac:dyDescent="0.3">
      <c r="A411" s="12">
        <v>410</v>
      </c>
      <c r="B411" s="5" t="s">
        <v>775</v>
      </c>
      <c r="C411" s="5" t="s">
        <v>776</v>
      </c>
      <c r="D411" s="5"/>
      <c r="E411" s="5"/>
      <c r="F411" s="5"/>
      <c r="G411" s="5"/>
      <c r="H411" s="13"/>
      <c r="I411" s="13"/>
      <c r="J411" s="5"/>
      <c r="K411" s="17" t="str">
        <f>HYPERLINK("file:///C:/Users/kapil/OneDrive/Desktop/CPPandScripting/CPP_Data/Striver_DSA_Handwritten_Explanations.md#problem-410-ninja-s-training","Notes P410")</f>
        <v>Notes P410</v>
      </c>
    </row>
    <row r="412" spans="1:11" ht="34.049999999999997" customHeight="1" x14ac:dyDescent="0.3">
      <c r="A412" s="9">
        <v>411</v>
      </c>
      <c r="B412" s="10" t="s">
        <v>777</v>
      </c>
      <c r="C412" s="10" t="s">
        <v>778</v>
      </c>
      <c r="D412" s="10"/>
      <c r="E412" s="10"/>
      <c r="F412" s="10"/>
      <c r="G412" s="10"/>
      <c r="H412" s="11"/>
      <c r="I412" s="11"/>
      <c r="J412" s="10"/>
      <c r="K412" s="16" t="str">
        <f>HYPERLINK("file:///C:/Users/kapil/OneDrive/Desktop/CPPandScripting/CPP_Data/Striver_DSA_Handwritten_Explanations.md#problem-411-grid-unique-paths-dp-on-grids-dp8","Notes P411")</f>
        <v>Notes P411</v>
      </c>
    </row>
    <row r="413" spans="1:11" ht="34.049999999999997" customHeight="1" x14ac:dyDescent="0.3">
      <c r="A413" s="12">
        <v>412</v>
      </c>
      <c r="B413" s="5" t="s">
        <v>779</v>
      </c>
      <c r="C413" s="5" t="s">
        <v>780</v>
      </c>
      <c r="D413" s="5"/>
      <c r="E413" s="5"/>
      <c r="F413" s="5"/>
      <c r="G413" s="5"/>
      <c r="H413" s="13"/>
      <c r="I413" s="13"/>
      <c r="J413" s="5"/>
      <c r="K413" s="17" t="str">
        <f>HYPERLINK("file:///C:/Users/kapil/OneDrive/Desktop/CPPandScripting/CPP_Data/Striver_DSA_Handwritten_Explanations.md#problem-412-unique-paths-ii","Notes P412")</f>
        <v>Notes P412</v>
      </c>
    </row>
    <row r="414" spans="1:11" ht="34.049999999999997" customHeight="1" x14ac:dyDescent="0.3">
      <c r="A414" s="9">
        <v>413</v>
      </c>
      <c r="B414" s="10" t="s">
        <v>781</v>
      </c>
      <c r="C414" s="10" t="s">
        <v>782</v>
      </c>
      <c r="D414" s="10"/>
      <c r="E414" s="10"/>
      <c r="F414" s="10"/>
      <c r="G414" s="10"/>
      <c r="H414" s="11"/>
      <c r="I414" s="11"/>
      <c r="J414" s="10"/>
      <c r="K414" s="16" t="str">
        <f>HYPERLINK("file:///C:/Users/kapil/OneDrive/Desktop/CPPandScripting/CPP_Data/Striver_DSA_Handwritten_Explanations.md#problem-413-minimum-falling-path-sum","Notes P413")</f>
        <v>Notes P413</v>
      </c>
    </row>
    <row r="415" spans="1:11" ht="34.049999999999997" customHeight="1" x14ac:dyDescent="0.3">
      <c r="A415" s="12">
        <v>414</v>
      </c>
      <c r="B415" s="5" t="s">
        <v>783</v>
      </c>
      <c r="C415" s="5" t="s">
        <v>784</v>
      </c>
      <c r="D415" s="5"/>
      <c r="E415" s="5"/>
      <c r="F415" s="5"/>
      <c r="G415" s="5"/>
      <c r="H415" s="13"/>
      <c r="I415" s="13"/>
      <c r="J415" s="5"/>
      <c r="K415" s="17" t="str">
        <f>HYPERLINK("file:///C:/Users/kapil/OneDrive/Desktop/CPPandScripting/CPP_Data/Striver_DSA_Handwritten_Explanations.md#problem-414-triangle","Notes P414")</f>
        <v>Notes P414</v>
      </c>
    </row>
    <row r="416" spans="1:11" ht="34.049999999999997" customHeight="1" x14ac:dyDescent="0.3">
      <c r="A416" s="9">
        <v>415</v>
      </c>
      <c r="B416" s="10" t="s">
        <v>785</v>
      </c>
      <c r="C416" s="10" t="s">
        <v>786</v>
      </c>
      <c r="D416" s="10"/>
      <c r="E416" s="10"/>
      <c r="F416" s="10"/>
      <c r="G416" s="10"/>
      <c r="H416" s="11"/>
      <c r="I416" s="11"/>
      <c r="J416" s="10"/>
      <c r="K416" s="16" t="str">
        <f>HYPERLINK("file:///C:/Users/kapil/OneDrive/Desktop/CPPandScripting/CPP_Data/Striver_DSA_Handwritten_Explanations.md#problem-415-ninja-and-his-friends","Notes P415")</f>
        <v>Notes P415</v>
      </c>
    </row>
    <row r="417" spans="1:11" ht="34.049999999999997" customHeight="1" x14ac:dyDescent="0.3">
      <c r="A417" s="12">
        <v>416</v>
      </c>
      <c r="B417" s="5" t="s">
        <v>787</v>
      </c>
      <c r="C417" s="5" t="s">
        <v>788</v>
      </c>
      <c r="D417" s="5"/>
      <c r="E417" s="5"/>
      <c r="F417" s="5"/>
      <c r="G417" s="5"/>
      <c r="H417" s="13"/>
      <c r="I417" s="13"/>
      <c r="J417" s="5"/>
      <c r="K417" s="17" t="str">
        <f>HYPERLINK("file:///C:/Users/kapil/OneDrive/Desktop/CPPandScripting/CPP_Data/Striver_DSA_Handwritten_Explanations.md#problem-416-subset-sum-equal-to-target-dp-14","Notes P416")</f>
        <v>Notes P416</v>
      </c>
    </row>
    <row r="418" spans="1:11" ht="34.049999999999997" customHeight="1" x14ac:dyDescent="0.3">
      <c r="A418" s="9">
        <v>417</v>
      </c>
      <c r="B418" s="10" t="s">
        <v>789</v>
      </c>
      <c r="C418" s="10" t="s">
        <v>790</v>
      </c>
      <c r="D418" s="10"/>
      <c r="E418" s="10"/>
      <c r="F418" s="10"/>
      <c r="G418" s="10"/>
      <c r="H418" s="11"/>
      <c r="I418" s="11"/>
      <c r="J418" s="10"/>
      <c r="K418" s="16" t="str">
        <f>HYPERLINK("file:///C:/Users/kapil/OneDrive/Desktop/CPPandScripting/CPP_Data/Striver_DSA_Handwritten_Explanations.md#problem-417-partition-equal-subset-sum","Notes P417")</f>
        <v>Notes P417</v>
      </c>
    </row>
    <row r="419" spans="1:11" ht="34.049999999999997" customHeight="1" x14ac:dyDescent="0.3">
      <c r="A419" s="12">
        <v>418</v>
      </c>
      <c r="B419" s="5" t="s">
        <v>791</v>
      </c>
      <c r="C419" s="5" t="s">
        <v>792</v>
      </c>
      <c r="D419" s="5"/>
      <c r="E419" s="5"/>
      <c r="F419" s="5"/>
      <c r="G419" s="5"/>
      <c r="H419" s="13"/>
      <c r="I419" s="13"/>
      <c r="J419" s="5"/>
      <c r="K419" s="17" t="str">
        <f>HYPERLINK("file:///C:/Users/kapil/OneDrive/Desktop/CPPandScripting/CPP_Data/Striver_DSA_Handwritten_Explanations.md#problem-418-partition-a-set-into-two-subsets-with-minimum-abso","Notes P418")</f>
        <v>Notes P418</v>
      </c>
    </row>
    <row r="420" spans="1:11" ht="34.049999999999997" customHeight="1" x14ac:dyDescent="0.3">
      <c r="A420" s="9">
        <v>419</v>
      </c>
      <c r="B420" s="10" t="s">
        <v>793</v>
      </c>
      <c r="C420" s="10" t="s">
        <v>794</v>
      </c>
      <c r="D420" s="10"/>
      <c r="E420" s="10"/>
      <c r="F420" s="10"/>
      <c r="G420" s="10"/>
      <c r="H420" s="11"/>
      <c r="I420" s="11"/>
      <c r="J420" s="10"/>
      <c r="K420" s="16" t="str">
        <f>HYPERLINK("file:///C:/Users/kapil/OneDrive/Desktop/CPPandScripting/CPP_Data/Striver_DSA_Handwritten_Explanations.md#problem-419-count-subsets-with-sum-k","Notes P419")</f>
        <v>Notes P419</v>
      </c>
    </row>
    <row r="421" spans="1:11" ht="34.049999999999997" customHeight="1" x14ac:dyDescent="0.3">
      <c r="A421" s="12">
        <v>420</v>
      </c>
      <c r="B421" s="5" t="s">
        <v>795</v>
      </c>
      <c r="C421" s="5" t="s">
        <v>796</v>
      </c>
      <c r="D421" s="5"/>
      <c r="E421" s="5"/>
      <c r="F421" s="5"/>
      <c r="G421" s="5"/>
      <c r="H421" s="13"/>
      <c r="I421" s="13"/>
      <c r="J421" s="5"/>
      <c r="K421" s="17" t="str">
        <f>HYPERLINK("file:///C:/Users/kapil/OneDrive/Desktop/CPPandScripting/CPP_Data/Striver_DSA_Handwritten_Explanations.md#problem-420-count-partitions-with-given-difference","Notes P420")</f>
        <v>Notes P420</v>
      </c>
    </row>
    <row r="422" spans="1:11" ht="34.049999999999997" customHeight="1" x14ac:dyDescent="0.3">
      <c r="A422" s="9">
        <v>421</v>
      </c>
      <c r="B422" s="10" t="s">
        <v>535</v>
      </c>
      <c r="C422" s="10" t="s">
        <v>536</v>
      </c>
      <c r="D422" s="10"/>
      <c r="E422" s="10"/>
      <c r="F422" s="10"/>
      <c r="G422" s="10"/>
      <c r="H422" s="11"/>
      <c r="I422" s="11"/>
      <c r="J422" s="10"/>
      <c r="K422" s="16" t="str">
        <f>HYPERLINK("file:///C:/Users/kapil/OneDrive/Desktop/CPPandScripting/CPP_Data/Striver_DSA_Handwritten_Explanations.md#problem-421-assign-cookies","Notes P421")</f>
        <v>Notes P421</v>
      </c>
    </row>
    <row r="423" spans="1:11" ht="34.049999999999997" customHeight="1" x14ac:dyDescent="0.3">
      <c r="A423" s="12">
        <v>422</v>
      </c>
      <c r="B423" s="5" t="s">
        <v>797</v>
      </c>
      <c r="C423" s="5" t="s">
        <v>798</v>
      </c>
      <c r="D423" s="5"/>
      <c r="E423" s="5"/>
      <c r="F423" s="5"/>
      <c r="G423" s="5"/>
      <c r="H423" s="13"/>
      <c r="I423" s="13"/>
      <c r="J423" s="5"/>
      <c r="K423" s="17" t="str">
        <f>HYPERLINK("file:///C:/Users/kapil/OneDrive/Desktop/CPPandScripting/CPP_Data/Striver_DSA_Handwritten_Explanations.md#problem-422-minimum-coins-dp-20","Notes P422")</f>
        <v>Notes P422</v>
      </c>
    </row>
    <row r="424" spans="1:11" ht="34.049999999999997" customHeight="1" x14ac:dyDescent="0.3">
      <c r="A424" s="9">
        <v>423</v>
      </c>
      <c r="B424" s="10" t="s">
        <v>799</v>
      </c>
      <c r="C424" s="10" t="s">
        <v>800</v>
      </c>
      <c r="D424" s="10"/>
      <c r="E424" s="10"/>
      <c r="F424" s="10"/>
      <c r="G424" s="10"/>
      <c r="H424" s="11"/>
      <c r="I424" s="11"/>
      <c r="J424" s="10"/>
      <c r="K424" s="16" t="str">
        <f>HYPERLINK("file:///C:/Users/kapil/OneDrive/Desktop/CPPandScripting/CPP_Data/Striver_DSA_Handwritten_Explanations.md#problem-423-target-sum","Notes P423")</f>
        <v>Notes P423</v>
      </c>
    </row>
    <row r="425" spans="1:11" ht="34.049999999999997" customHeight="1" x14ac:dyDescent="0.3">
      <c r="A425" s="12">
        <v>424</v>
      </c>
      <c r="B425" s="5" t="s">
        <v>801</v>
      </c>
      <c r="C425" s="5" t="s">
        <v>802</v>
      </c>
      <c r="D425" s="5"/>
      <c r="E425" s="5"/>
      <c r="F425" s="5"/>
      <c r="G425" s="5"/>
      <c r="H425" s="13"/>
      <c r="I425" s="13"/>
      <c r="J425" s="5"/>
      <c r="K425" s="17" t="str">
        <f>HYPERLINK("file:///C:/Users/kapil/OneDrive/Desktop/CPPandScripting/CPP_Data/Striver_DSA_Handwritten_Explanations.md#problem-424-coin-change-2-dp-22","Notes P424")</f>
        <v>Notes P424</v>
      </c>
    </row>
    <row r="426" spans="1:11" ht="34.049999999999997" customHeight="1" x14ac:dyDescent="0.3">
      <c r="A426" s="9">
        <v>425</v>
      </c>
      <c r="B426" s="10" t="s">
        <v>803</v>
      </c>
      <c r="C426" s="10" t="s">
        <v>804</v>
      </c>
      <c r="D426" s="10"/>
      <c r="E426" s="10"/>
      <c r="F426" s="10"/>
      <c r="G426" s="10"/>
      <c r="H426" s="11"/>
      <c r="I426" s="11"/>
      <c r="J426" s="10"/>
      <c r="K426" s="16" t="str">
        <f>HYPERLINK("file:///C:/Users/kapil/OneDrive/Desktop/CPPandScripting/CPP_Data/Striver_DSA_Handwritten_Explanations.md#problem-425-unbounded-knapsack","Notes P425")</f>
        <v>Notes P425</v>
      </c>
    </row>
    <row r="427" spans="1:11" ht="34.049999999999997" customHeight="1" x14ac:dyDescent="0.3">
      <c r="A427" s="12">
        <v>426</v>
      </c>
      <c r="B427" s="5" t="s">
        <v>805</v>
      </c>
      <c r="C427" s="5" t="s">
        <v>806</v>
      </c>
      <c r="D427" s="5"/>
      <c r="E427" s="5"/>
      <c r="F427" s="5"/>
      <c r="G427" s="5"/>
      <c r="H427" s="13"/>
      <c r="I427" s="13"/>
      <c r="J427" s="5"/>
      <c r="K427" s="17" t="str">
        <f>HYPERLINK("file:///C:/Users/kapil/OneDrive/Desktop/CPPandScripting/CPP_Data/Striver_DSA_Handwritten_Explanations.md#problem-426-rod-cutting-problem-dp-24","Notes P426")</f>
        <v>Notes P426</v>
      </c>
    </row>
    <row r="428" spans="1:11" ht="34.049999999999997" customHeight="1" x14ac:dyDescent="0.3">
      <c r="A428" s="9">
        <v>427</v>
      </c>
      <c r="B428" s="10" t="s">
        <v>807</v>
      </c>
      <c r="C428" s="10" t="s">
        <v>808</v>
      </c>
      <c r="D428" s="10"/>
      <c r="E428" s="10"/>
      <c r="F428" s="10"/>
      <c r="G428" s="10"/>
      <c r="H428" s="11"/>
      <c r="I428" s="11"/>
      <c r="J428" s="10"/>
      <c r="K428" s="16" t="str">
        <f>HYPERLINK("file:///C:/Users/kapil/OneDrive/Desktop/CPPandScripting/CPP_Data/Striver_DSA_Handwritten_Explanations.md#problem-427-longest-common-subsequence","Notes P427")</f>
        <v>Notes P427</v>
      </c>
    </row>
    <row r="429" spans="1:11" ht="34.049999999999997" customHeight="1" x14ac:dyDescent="0.3">
      <c r="A429" s="12">
        <v>428</v>
      </c>
      <c r="B429" s="5" t="s">
        <v>809</v>
      </c>
      <c r="C429" s="5" t="s">
        <v>808</v>
      </c>
      <c r="D429" s="5"/>
      <c r="E429" s="5"/>
      <c r="F429" s="5"/>
      <c r="G429" s="5"/>
      <c r="H429" s="13"/>
      <c r="I429" s="13"/>
      <c r="J429" s="5"/>
      <c r="K429" s="17" t="str">
        <f>HYPERLINK("file:///C:/Users/kapil/OneDrive/Desktop/CPPandScripting/CPP_Data/Striver_DSA_Handwritten_Explanations.md#problem-428-print-longest-common-subsequence-dp-26","Notes P428")</f>
        <v>Notes P428</v>
      </c>
    </row>
    <row r="430" spans="1:11" ht="34.049999999999997" customHeight="1" x14ac:dyDescent="0.3">
      <c r="A430" s="9">
        <v>429</v>
      </c>
      <c r="B430" s="10" t="s">
        <v>810</v>
      </c>
      <c r="C430" s="10" t="s">
        <v>811</v>
      </c>
      <c r="D430" s="10"/>
      <c r="E430" s="10"/>
      <c r="F430" s="10"/>
      <c r="G430" s="10"/>
      <c r="H430" s="11"/>
      <c r="I430" s="11"/>
      <c r="J430" s="10"/>
      <c r="K430" s="16" t="str">
        <f>HYPERLINK("file:///C:/Users/kapil/OneDrive/Desktop/CPPandScripting/CPP_Data/Striver_DSA_Handwritten_Explanations.md#problem-429-longest-common-substring","Notes P429")</f>
        <v>Notes P429</v>
      </c>
    </row>
    <row r="431" spans="1:11" ht="34.049999999999997" customHeight="1" x14ac:dyDescent="0.3">
      <c r="A431" s="12">
        <v>430</v>
      </c>
      <c r="B431" s="5" t="s">
        <v>812</v>
      </c>
      <c r="C431" s="5" t="s">
        <v>813</v>
      </c>
      <c r="D431" s="5"/>
      <c r="E431" s="5"/>
      <c r="F431" s="5"/>
      <c r="G431" s="5"/>
      <c r="H431" s="13"/>
      <c r="I431" s="13"/>
      <c r="J431" s="5"/>
      <c r="K431" s="17" t="str">
        <f>HYPERLINK("file:///C:/Users/kapil/OneDrive/Desktop/CPPandScripting/CPP_Data/Striver_DSA_Handwritten_Explanations.md#problem-430-longest-palindromic-subsequence","Notes P430")</f>
        <v>Notes P430</v>
      </c>
    </row>
    <row r="432" spans="1:11" ht="34.049999999999997" customHeight="1" x14ac:dyDescent="0.3">
      <c r="A432" s="9">
        <v>431</v>
      </c>
      <c r="B432" s="10" t="s">
        <v>814</v>
      </c>
      <c r="C432" s="10" t="s">
        <v>815</v>
      </c>
      <c r="D432" s="10"/>
      <c r="E432" s="10"/>
      <c r="F432" s="10"/>
      <c r="G432" s="10"/>
      <c r="H432" s="11"/>
      <c r="I432" s="11"/>
      <c r="J432" s="10"/>
      <c r="K432" s="16" t="str">
        <f>HYPERLINK("file:///C:/Users/kapil/OneDrive/Desktop/CPPandScripting/CPP_Data/Striver_DSA_Handwritten_Explanations.md#problem-431-minimum-insertions-to-make-string-palindrome-dp-29","Notes P431")</f>
        <v>Notes P431</v>
      </c>
    </row>
    <row r="433" spans="1:11" ht="34.049999999999997" customHeight="1" x14ac:dyDescent="0.3">
      <c r="A433" s="12">
        <v>432</v>
      </c>
      <c r="B433" s="5" t="s">
        <v>816</v>
      </c>
      <c r="C433" s="5" t="s">
        <v>817</v>
      </c>
      <c r="D433" s="5"/>
      <c r="E433" s="5"/>
      <c r="F433" s="5"/>
      <c r="G433" s="5"/>
      <c r="H433" s="13"/>
      <c r="I433" s="13"/>
      <c r="J433" s="5"/>
      <c r="K433" s="17" t="str">
        <f>HYPERLINK("file:///C:/Users/kapil/OneDrive/Desktop/CPPandScripting/CPP_Data/Striver_DSA_Handwritten_Explanations.md#problem-432-minimum-insertions-or-deletions-to-convert-string","Notes P432")</f>
        <v>Notes P432</v>
      </c>
    </row>
    <row r="434" spans="1:11" ht="34.049999999999997" customHeight="1" x14ac:dyDescent="0.3">
      <c r="A434" s="9">
        <v>433</v>
      </c>
      <c r="B434" s="10" t="s">
        <v>818</v>
      </c>
      <c r="C434" s="10" t="s">
        <v>819</v>
      </c>
      <c r="D434" s="10"/>
      <c r="E434" s="10"/>
      <c r="F434" s="10"/>
      <c r="G434" s="10"/>
      <c r="H434" s="11"/>
      <c r="I434" s="11"/>
      <c r="J434" s="10"/>
      <c r="K434" s="16" t="str">
        <f>HYPERLINK("file:///C:/Users/kapil/OneDrive/Desktop/CPPandScripting/CPP_Data/Striver_DSA_Handwritten_Explanations.md#problem-433-shortest-common-supersequence","Notes P433")</f>
        <v>Notes P433</v>
      </c>
    </row>
    <row r="435" spans="1:11" ht="34.049999999999997" customHeight="1" x14ac:dyDescent="0.3">
      <c r="A435" s="12">
        <v>434</v>
      </c>
      <c r="B435" s="5" t="s">
        <v>820</v>
      </c>
      <c r="C435" s="5" t="s">
        <v>821</v>
      </c>
      <c r="D435" s="5"/>
      <c r="E435" s="5"/>
      <c r="F435" s="5"/>
      <c r="G435" s="5"/>
      <c r="H435" s="13"/>
      <c r="I435" s="13"/>
      <c r="J435" s="5"/>
      <c r="K435" s="17" t="str">
        <f>HYPERLINK("file:///C:/Users/kapil/OneDrive/Desktop/CPPandScripting/CPP_Data/Striver_DSA_Handwritten_Explanations.md#problem-434-distinct-subsequences","Notes P434")</f>
        <v>Notes P434</v>
      </c>
    </row>
    <row r="436" spans="1:11" ht="34.049999999999997" customHeight="1" x14ac:dyDescent="0.3">
      <c r="A436" s="9">
        <v>435</v>
      </c>
      <c r="B436" s="10" t="s">
        <v>822</v>
      </c>
      <c r="C436" s="10" t="s">
        <v>823</v>
      </c>
      <c r="D436" s="10"/>
      <c r="E436" s="10"/>
      <c r="F436" s="10"/>
      <c r="G436" s="10"/>
      <c r="H436" s="11"/>
      <c r="I436" s="11"/>
      <c r="J436" s="10"/>
      <c r="K436" s="16" t="str">
        <f>HYPERLINK("file:///C:/Users/kapil/OneDrive/Desktop/CPPandScripting/CPP_Data/Striver_DSA_Handwritten_Explanations.md#problem-435-edit-distance","Notes P435")</f>
        <v>Notes P435</v>
      </c>
    </row>
    <row r="437" spans="1:11" ht="34.049999999999997" customHeight="1" x14ac:dyDescent="0.3">
      <c r="A437" s="12">
        <v>436</v>
      </c>
      <c r="B437" s="5" t="s">
        <v>824</v>
      </c>
      <c r="C437" s="5" t="s">
        <v>825</v>
      </c>
      <c r="D437" s="5"/>
      <c r="E437" s="5"/>
      <c r="F437" s="5"/>
      <c r="G437" s="5"/>
      <c r="H437" s="13"/>
      <c r="I437" s="13"/>
      <c r="J437" s="5"/>
      <c r="K437" s="17" t="str">
        <f>HYPERLINK("file:///C:/Users/kapil/OneDrive/Desktop/CPPandScripting/CPP_Data/Striver_DSA_Handwritten_Explanations.md#problem-436-wildcard-matching","Notes P436")</f>
        <v>Notes P436</v>
      </c>
    </row>
    <row r="438" spans="1:11" ht="34.049999999999997" customHeight="1" x14ac:dyDescent="0.3">
      <c r="A438" s="9">
        <v>437</v>
      </c>
      <c r="B438" s="10" t="s">
        <v>826</v>
      </c>
      <c r="C438" s="10" t="s">
        <v>145</v>
      </c>
      <c r="D438" s="10" t="s">
        <v>915</v>
      </c>
      <c r="E438" s="10"/>
      <c r="F438" s="10"/>
      <c r="G438" s="10"/>
      <c r="H438" s="11"/>
      <c r="I438" s="11"/>
      <c r="J438" s="10"/>
      <c r="K438" s="16" t="str">
        <f>HYPERLINK("file:///C:/Users/kapil/OneDrive/Desktop/CPPandScripting/CPP_Data/Striver_DSA_Handwritten_Explanations.md#problem-437-best-time-to-buy-and-sell-stock","Notes P437")</f>
        <v>Notes P437</v>
      </c>
    </row>
    <row r="439" spans="1:11" ht="34.049999999999997" customHeight="1" x14ac:dyDescent="0.3">
      <c r="A439" s="12">
        <v>438</v>
      </c>
      <c r="B439" s="5" t="s">
        <v>827</v>
      </c>
      <c r="C439" s="5" t="s">
        <v>828</v>
      </c>
      <c r="D439" s="5"/>
      <c r="E439" s="5"/>
      <c r="F439" s="5"/>
      <c r="G439" s="5"/>
      <c r="H439" s="13"/>
      <c r="I439" s="13"/>
      <c r="J439" s="5"/>
      <c r="K439" s="17" t="str">
        <f>HYPERLINK("file:///C:/Users/kapil/OneDrive/Desktop/CPPandScripting/CPP_Data/Striver_DSA_Handwritten_Explanations.md#problem-438-best-time-to-buy-and-sell-stock-ii","Notes P438")</f>
        <v>Notes P438</v>
      </c>
    </row>
    <row r="440" spans="1:11" ht="34.049999999999997" customHeight="1" x14ac:dyDescent="0.3">
      <c r="A440" s="9">
        <v>439</v>
      </c>
      <c r="B440" s="10" t="s">
        <v>829</v>
      </c>
      <c r="C440" s="10" t="s">
        <v>830</v>
      </c>
      <c r="D440" s="10"/>
      <c r="E440" s="10"/>
      <c r="F440" s="10"/>
      <c r="G440" s="10"/>
      <c r="H440" s="11"/>
      <c r="I440" s="11"/>
      <c r="J440" s="10"/>
      <c r="K440" s="16" t="str">
        <f>HYPERLINK("file:///C:/Users/kapil/OneDrive/Desktop/CPPandScripting/CPP_Data/Striver_DSA_Handwritten_Explanations.md#problem-439-best-time-to-buy-and-sell-stock-iii","Notes P439")</f>
        <v>Notes P439</v>
      </c>
    </row>
    <row r="441" spans="1:11" ht="34.049999999999997" customHeight="1" x14ac:dyDescent="0.3">
      <c r="A441" s="12">
        <v>440</v>
      </c>
      <c r="B441" s="5" t="s">
        <v>831</v>
      </c>
      <c r="C441" s="5" t="s">
        <v>832</v>
      </c>
      <c r="D441" s="5"/>
      <c r="E441" s="5"/>
      <c r="F441" s="5"/>
      <c r="G441" s="5"/>
      <c r="H441" s="13"/>
      <c r="I441" s="13"/>
      <c r="J441" s="5"/>
      <c r="K441" s="17" t="str">
        <f>HYPERLINK("file:///C:/Users/kapil/OneDrive/Desktop/CPPandScripting/CPP_Data/Striver_DSA_Handwritten_Explanations.md#problem-440-best-time-to-buy-and-sell-stock-iv","Notes P440")</f>
        <v>Notes P440</v>
      </c>
    </row>
    <row r="442" spans="1:11" ht="34.049999999999997" customHeight="1" x14ac:dyDescent="0.3">
      <c r="A442" s="9">
        <v>441</v>
      </c>
      <c r="B442" s="10" t="s">
        <v>833</v>
      </c>
      <c r="C442" s="10" t="s">
        <v>834</v>
      </c>
      <c r="D442" s="10"/>
      <c r="E442" s="10"/>
      <c r="F442" s="10"/>
      <c r="G442" s="10"/>
      <c r="H442" s="11"/>
      <c r="I442" s="11"/>
      <c r="J442" s="10"/>
      <c r="K442" s="16" t="str">
        <f>HYPERLINK("file:///C:/Users/kapil/OneDrive/Desktop/CPPandScripting/CPP_Data/Striver_DSA_Handwritten_Explanations.md#problem-441-best-time-to-buy-and-sell-stock-with-cooldown","Notes P441")</f>
        <v>Notes P441</v>
      </c>
    </row>
    <row r="443" spans="1:11" ht="34.049999999999997" customHeight="1" x14ac:dyDescent="0.3">
      <c r="A443" s="12">
        <v>442</v>
      </c>
      <c r="B443" s="5" t="s">
        <v>835</v>
      </c>
      <c r="C443" s="5" t="s">
        <v>836</v>
      </c>
      <c r="D443" s="5"/>
      <c r="E443" s="5"/>
      <c r="F443" s="5"/>
      <c r="G443" s="5"/>
      <c r="H443" s="13"/>
      <c r="I443" s="13"/>
      <c r="J443" s="5"/>
      <c r="K443" s="17" t="str">
        <f>HYPERLINK("file:///C:/Users/kapil/OneDrive/Desktop/CPPandScripting/CPP_Data/Striver_DSA_Handwritten_Explanations.md#problem-442-best-time-to-buy-and-sell-stock-with-transaction-f","Notes P442")</f>
        <v>Notes P442</v>
      </c>
    </row>
    <row r="444" spans="1:11" ht="34.049999999999997" customHeight="1" x14ac:dyDescent="0.3">
      <c r="A444" s="9">
        <v>443</v>
      </c>
      <c r="B444" s="10" t="s">
        <v>837</v>
      </c>
      <c r="C444" s="10" t="s">
        <v>838</v>
      </c>
      <c r="D444" s="10"/>
      <c r="E444" s="10"/>
      <c r="F444" s="10"/>
      <c r="G444" s="10"/>
      <c r="H444" s="11"/>
      <c r="I444" s="11"/>
      <c r="J444" s="10"/>
      <c r="K444" s="16" t="str">
        <f>HYPERLINK("file:///C:/Users/kapil/OneDrive/Desktop/CPPandScripting/CPP_Data/Striver_DSA_Handwritten_Explanations.md#problem-443-longest-increasing-subsequence","Notes P443")</f>
        <v>Notes P443</v>
      </c>
    </row>
    <row r="445" spans="1:11" ht="34.049999999999997" customHeight="1" x14ac:dyDescent="0.3">
      <c r="A445" s="12">
        <v>444</v>
      </c>
      <c r="B445" s="5" t="s">
        <v>839</v>
      </c>
      <c r="C445" s="5" t="s">
        <v>840</v>
      </c>
      <c r="D445" s="5"/>
      <c r="E445" s="5"/>
      <c r="F445" s="5"/>
      <c r="G445" s="5"/>
      <c r="H445" s="13"/>
      <c r="I445" s="13"/>
      <c r="J445" s="5"/>
      <c r="K445" s="17" t="str">
        <f>HYPERLINK("file:///C:/Users/kapil/OneDrive/Desktop/CPPandScripting/CPP_Data/Striver_DSA_Handwritten_Explanations.md#problem-444-print-longest-increasing-subsequence","Notes P444")</f>
        <v>Notes P444</v>
      </c>
    </row>
    <row r="446" spans="1:11" ht="34.049999999999997" customHeight="1" x14ac:dyDescent="0.3">
      <c r="A446" s="9">
        <v>445</v>
      </c>
      <c r="B446" s="10" t="s">
        <v>841</v>
      </c>
      <c r="C446" s="10" t="s">
        <v>838</v>
      </c>
      <c r="D446" s="10"/>
      <c r="E446" s="10"/>
      <c r="F446" s="10"/>
      <c r="G446" s="10"/>
      <c r="H446" s="11"/>
      <c r="I446" s="11"/>
      <c r="J446" s="10"/>
      <c r="K446" s="16" t="str">
        <f>HYPERLINK("file:///C:/Users/kapil/OneDrive/Desktop/CPPandScripting/CPP_Data/Striver_DSA_Handwritten_Explanations.md#problem-445-longest-increasing-subsequence-dp-43","Notes P445")</f>
        <v>Notes P445</v>
      </c>
    </row>
    <row r="447" spans="1:11" ht="34.049999999999997" customHeight="1" x14ac:dyDescent="0.3">
      <c r="A447" s="12">
        <v>446</v>
      </c>
      <c r="B447" s="5" t="s">
        <v>842</v>
      </c>
      <c r="C447" s="5" t="s">
        <v>843</v>
      </c>
      <c r="D447" s="5"/>
      <c r="E447" s="5"/>
      <c r="F447" s="5"/>
      <c r="G447" s="5"/>
      <c r="H447" s="13"/>
      <c r="I447" s="13"/>
      <c r="J447" s="5"/>
      <c r="K447" s="17" t="str">
        <f>HYPERLINK("file:///C:/Users/kapil/OneDrive/Desktop/CPPandScripting/CPP_Data/Striver_DSA_Handwritten_Explanations.md#problem-446-largest-divisible-subset","Notes P446")</f>
        <v>Notes P446</v>
      </c>
    </row>
    <row r="448" spans="1:11" ht="34.049999999999997" customHeight="1" x14ac:dyDescent="0.3">
      <c r="A448" s="9">
        <v>447</v>
      </c>
      <c r="B448" s="10" t="s">
        <v>844</v>
      </c>
      <c r="C448" s="10" t="s">
        <v>845</v>
      </c>
      <c r="D448" s="10"/>
      <c r="E448" s="10"/>
      <c r="F448" s="10"/>
      <c r="G448" s="10"/>
      <c r="H448" s="11"/>
      <c r="I448" s="11"/>
      <c r="J448" s="10"/>
      <c r="K448" s="16" t="str">
        <f>HYPERLINK("file:///C:/Users/kapil/OneDrive/Desktop/CPPandScripting/CPP_Data/Striver_DSA_Handwritten_Explanations.md#problem-447-longest-string-chain","Notes P447")</f>
        <v>Notes P447</v>
      </c>
    </row>
    <row r="449" spans="1:11" ht="34.049999999999997" customHeight="1" x14ac:dyDescent="0.3">
      <c r="A449" s="12">
        <v>448</v>
      </c>
      <c r="B449" s="5" t="s">
        <v>846</v>
      </c>
      <c r="C449" s="5" t="s">
        <v>847</v>
      </c>
      <c r="D449" s="5"/>
      <c r="E449" s="5"/>
      <c r="F449" s="5"/>
      <c r="G449" s="5"/>
      <c r="H449" s="13"/>
      <c r="I449" s="13"/>
      <c r="J449" s="5"/>
      <c r="K449" s="17" t="str">
        <f>HYPERLINK("file:///C:/Users/kapil/OneDrive/Desktop/CPPandScripting/CPP_Data/Striver_DSA_Handwritten_Explanations.md#problem-448-longest-bitonic-subsequence","Notes P448")</f>
        <v>Notes P448</v>
      </c>
    </row>
    <row r="450" spans="1:11" ht="34.049999999999997" customHeight="1" x14ac:dyDescent="0.3">
      <c r="A450" s="9">
        <v>449</v>
      </c>
      <c r="B450" s="10" t="s">
        <v>848</v>
      </c>
      <c r="C450" s="10" t="s">
        <v>849</v>
      </c>
      <c r="D450" s="10"/>
      <c r="E450" s="10"/>
      <c r="F450" s="10"/>
      <c r="G450" s="10"/>
      <c r="H450" s="11"/>
      <c r="I450" s="11"/>
      <c r="J450" s="10"/>
      <c r="K450" s="16" t="str">
        <f>HYPERLINK("file:///C:/Users/kapil/OneDrive/Desktop/CPPandScripting/CPP_Data/Striver_DSA_Handwritten_Explanations.md#problem-449-number-of-longest-increasing-subsequences","Notes P449")</f>
        <v>Notes P449</v>
      </c>
    </row>
    <row r="451" spans="1:11" ht="34.049999999999997" customHeight="1" x14ac:dyDescent="0.3">
      <c r="A451" s="12">
        <v>450</v>
      </c>
      <c r="B451" s="5" t="s">
        <v>850</v>
      </c>
      <c r="C451" s="5" t="s">
        <v>851</v>
      </c>
      <c r="D451" s="5"/>
      <c r="E451" s="5"/>
      <c r="F451" s="5"/>
      <c r="G451" s="5"/>
      <c r="H451" s="13"/>
      <c r="I451" s="13"/>
      <c r="J451" s="5"/>
      <c r="K451" s="17" t="str">
        <f>HYPERLINK("file:///C:/Users/kapil/OneDrive/Desktop/CPPandScripting/CPP_Data/Striver_DSA_Handwritten_Explanations.md#problem-450-matrix-chain-multiplication","Notes P450")</f>
        <v>Notes P450</v>
      </c>
    </row>
    <row r="452" spans="1:11" ht="34.049999999999997" customHeight="1" x14ac:dyDescent="0.3">
      <c r="A452" s="9">
        <v>451</v>
      </c>
      <c r="B452" s="10" t="s">
        <v>852</v>
      </c>
      <c r="C452" s="10" t="s">
        <v>853</v>
      </c>
      <c r="D452" s="10"/>
      <c r="E452" s="10"/>
      <c r="F452" s="10"/>
      <c r="G452" s="10"/>
      <c r="H452" s="11"/>
      <c r="I452" s="11"/>
      <c r="J452" s="10"/>
      <c r="K452" s="16" t="str">
        <f>HYPERLINK("file:///C:/Users/kapil/OneDrive/Desktop/CPPandScripting/CPP_Data/Striver_DSA_Handwritten_Explanations.md#problem-451-matrix-chain-multiplication-bottom-up-dp-49","Notes P451")</f>
        <v>Notes P451</v>
      </c>
    </row>
    <row r="453" spans="1:11" ht="34.049999999999997" customHeight="1" x14ac:dyDescent="0.3">
      <c r="A453" s="12">
        <v>452</v>
      </c>
      <c r="B453" s="5" t="s">
        <v>854</v>
      </c>
      <c r="C453" s="5" t="s">
        <v>855</v>
      </c>
      <c r="D453" s="5"/>
      <c r="E453" s="5"/>
      <c r="F453" s="5"/>
      <c r="G453" s="5"/>
      <c r="H453" s="13"/>
      <c r="I453" s="13"/>
      <c r="J453" s="5"/>
      <c r="K453" s="17" t="str">
        <f>HYPERLINK("file:///C:/Users/kapil/OneDrive/Desktop/CPPandScripting/CPP_Data/Striver_DSA_Handwritten_Explanations.md#problem-452-minimum-cost-to-cut-the-stick","Notes P452")</f>
        <v>Notes P452</v>
      </c>
    </row>
    <row r="454" spans="1:11" ht="34.049999999999997" customHeight="1" x14ac:dyDescent="0.3">
      <c r="A454" s="9">
        <v>453</v>
      </c>
      <c r="B454" s="10" t="s">
        <v>856</v>
      </c>
      <c r="C454" s="10" t="s">
        <v>857</v>
      </c>
      <c r="D454" s="10"/>
      <c r="E454" s="10"/>
      <c r="F454" s="10"/>
      <c r="G454" s="10"/>
      <c r="H454" s="11"/>
      <c r="I454" s="11"/>
      <c r="J454" s="10"/>
      <c r="K454" s="16" t="str">
        <f>HYPERLINK("file:///C:/Users/kapil/OneDrive/Desktop/CPPandScripting/CPP_Data/Striver_DSA_Handwritten_Explanations.md#problem-453-burst-balloons","Notes P453")</f>
        <v>Notes P453</v>
      </c>
    </row>
    <row r="455" spans="1:11" ht="34.049999999999997" customHeight="1" x14ac:dyDescent="0.3">
      <c r="A455" s="12">
        <v>454</v>
      </c>
      <c r="B455" s="5" t="s">
        <v>858</v>
      </c>
      <c r="C455" s="5" t="s">
        <v>859</v>
      </c>
      <c r="D455" s="5"/>
      <c r="E455" s="5"/>
      <c r="F455" s="5"/>
      <c r="G455" s="5"/>
      <c r="H455" s="13"/>
      <c r="I455" s="13"/>
      <c r="J455" s="5"/>
      <c r="K455" s="17" t="str">
        <f>HYPERLINK("file:///C:/Users/kapil/OneDrive/Desktop/CPPandScripting/CPP_Data/Striver_DSA_Handwritten_Explanations.md#problem-454-different-ways-to-evaluate-a-boolean-expression","Notes P454")</f>
        <v>Notes P454</v>
      </c>
    </row>
    <row r="456" spans="1:11" ht="34.049999999999997" customHeight="1" x14ac:dyDescent="0.3">
      <c r="A456" s="9">
        <v>455</v>
      </c>
      <c r="B456" s="10" t="s">
        <v>860</v>
      </c>
      <c r="C456" s="10" t="s">
        <v>861</v>
      </c>
      <c r="D456" s="10"/>
      <c r="E456" s="10"/>
      <c r="F456" s="10"/>
      <c r="G456" s="10"/>
      <c r="H456" s="11"/>
      <c r="I456" s="11"/>
      <c r="J456" s="10"/>
      <c r="K456" s="16" t="str">
        <f>HYPERLINK("file:///C:/Users/kapil/OneDrive/Desktop/CPPandScripting/CPP_Data/Striver_DSA_Handwritten_Explanations.md#problem-455-palindrome-partitioning-ii","Notes P455")</f>
        <v>Notes P455</v>
      </c>
    </row>
    <row r="457" spans="1:11" ht="34.049999999999997" customHeight="1" x14ac:dyDescent="0.3">
      <c r="A457" s="12">
        <v>456</v>
      </c>
      <c r="B457" s="5" t="s">
        <v>862</v>
      </c>
      <c r="C457" s="5" t="s">
        <v>863</v>
      </c>
      <c r="D457" s="5"/>
      <c r="E457" s="5"/>
      <c r="F457" s="5"/>
      <c r="G457" s="5"/>
      <c r="H457" s="13"/>
      <c r="I457" s="13"/>
      <c r="J457" s="5"/>
      <c r="K457" s="17" t="str">
        <f>HYPERLINK("file:///C:/Users/kapil/OneDrive/Desktop/CPPandScripting/CPP_Data/Striver_DSA_Handwritten_Explanations.md#problem-456-partition-array-for-maximum-sum","Notes P456")</f>
        <v>Notes P456</v>
      </c>
    </row>
    <row r="458" spans="1:11" ht="34.049999999999997" customHeight="1" x14ac:dyDescent="0.3">
      <c r="A458" s="9">
        <v>457</v>
      </c>
      <c r="B458" s="10" t="s">
        <v>864</v>
      </c>
      <c r="C458" s="10" t="s">
        <v>467</v>
      </c>
      <c r="D458" s="10"/>
      <c r="E458" s="10"/>
      <c r="F458" s="10"/>
      <c r="G458" s="10"/>
      <c r="H458" s="11"/>
      <c r="I458" s="11"/>
      <c r="J458" s="10"/>
      <c r="K458" s="16" t="str">
        <f>HYPERLINK("file:///C:/Users/kapil/OneDrive/Desktop/CPPandScripting/CPP_Data/Striver_DSA_Handwritten_Explanations.md#problem-457-maximum-rectangle-area-with-all-1-s-dp-55","Notes P457")</f>
        <v>Notes P457</v>
      </c>
    </row>
    <row r="459" spans="1:11" ht="34.049999999999997" customHeight="1" x14ac:dyDescent="0.3">
      <c r="A459" s="12">
        <v>458</v>
      </c>
      <c r="B459" s="5" t="s">
        <v>865</v>
      </c>
      <c r="C459" s="5" t="s">
        <v>866</v>
      </c>
      <c r="D459" s="5"/>
      <c r="E459" s="5"/>
      <c r="F459" s="5"/>
      <c r="G459" s="5"/>
      <c r="H459" s="13"/>
      <c r="I459" s="13"/>
      <c r="J459" s="5"/>
      <c r="K459" s="17" t="str">
        <f>HYPERLINK("file:///C:/Users/kapil/OneDrive/Desktop/CPPandScripting/CPP_Data/Striver_DSA_Handwritten_Explanations.md#problem-458-count-square-submatrices-with-all-ones-dp-56","Notes P458")</f>
        <v>Notes P458</v>
      </c>
    </row>
    <row r="460" spans="1:11" ht="34.049999999999997" customHeight="1" x14ac:dyDescent="0.3">
      <c r="A460" s="9">
        <v>459</v>
      </c>
      <c r="B460" s="10" t="s">
        <v>867</v>
      </c>
      <c r="C460" s="10" t="s">
        <v>868</v>
      </c>
      <c r="D460" s="10"/>
      <c r="E460" s="10"/>
      <c r="F460" s="10"/>
      <c r="G460" s="10"/>
      <c r="H460" s="11"/>
      <c r="I460" s="11"/>
      <c r="J460" s="10"/>
      <c r="K460" s="16" t="str">
        <f>HYPERLINK("file:///C:/Users/kapil/OneDrive/Desktop/CPPandScripting/CPP_Data/Striver_DSA_Handwritten_Explanations.md#problem-459-trie-implementation-and-operations","Notes P459")</f>
        <v>Notes P459</v>
      </c>
    </row>
    <row r="461" spans="1:11" ht="34.049999999999997" customHeight="1" x14ac:dyDescent="0.3">
      <c r="A461" s="12">
        <v>460</v>
      </c>
      <c r="B461" s="5" t="s">
        <v>869</v>
      </c>
      <c r="C461" s="5" t="s">
        <v>870</v>
      </c>
      <c r="D461" s="5"/>
      <c r="E461" s="5"/>
      <c r="F461" s="5"/>
      <c r="G461" s="5"/>
      <c r="H461" s="13"/>
      <c r="I461" s="13"/>
      <c r="J461" s="5"/>
      <c r="K461" s="17" t="str">
        <f>HYPERLINK("file:///C:/Users/kapil/OneDrive/Desktop/CPPandScripting/CPP_Data/Striver_DSA_Handwritten_Explanations.md#problem-460-trie-implementation-and-advanced-operations","Notes P460")</f>
        <v>Notes P460</v>
      </c>
    </row>
    <row r="462" spans="1:11" ht="34.049999999999997" customHeight="1" x14ac:dyDescent="0.3">
      <c r="A462" s="9">
        <v>461</v>
      </c>
      <c r="B462" s="10" t="s">
        <v>871</v>
      </c>
      <c r="C462" s="10" t="s">
        <v>872</v>
      </c>
      <c r="D462" s="10"/>
      <c r="E462" s="10"/>
      <c r="F462" s="10"/>
      <c r="G462" s="10"/>
      <c r="H462" s="11"/>
      <c r="I462" s="11"/>
      <c r="J462" s="10"/>
      <c r="K462" s="16" t="str">
        <f>HYPERLINK("file:///C:/Users/kapil/OneDrive/Desktop/CPPandScripting/CPP_Data/Striver_DSA_Handwritten_Explanations.md#problem-461-longest-word-with-all-prefixes","Notes P461")</f>
        <v>Notes P461</v>
      </c>
    </row>
    <row r="463" spans="1:11" ht="34.049999999999997" customHeight="1" x14ac:dyDescent="0.3">
      <c r="A463" s="12">
        <v>462</v>
      </c>
      <c r="B463" s="5" t="s">
        <v>873</v>
      </c>
      <c r="C463" s="5" t="s">
        <v>874</v>
      </c>
      <c r="D463" s="5"/>
      <c r="E463" s="5"/>
      <c r="F463" s="5"/>
      <c r="G463" s="5"/>
      <c r="H463" s="13"/>
      <c r="I463" s="13"/>
      <c r="J463" s="5"/>
      <c r="K463" s="17" t="str">
        <f>HYPERLINK("file:///C:/Users/kapil/OneDrive/Desktop/CPPandScripting/CPP_Data/Striver_DSA_Handwritten_Explanations.md#problem-462-number-of-distinct-substrings-in-a-string","Notes P462")</f>
        <v>Notes P462</v>
      </c>
    </row>
    <row r="464" spans="1:11" ht="34.049999999999997" customHeight="1" x14ac:dyDescent="0.3">
      <c r="A464" s="9">
        <v>463</v>
      </c>
      <c r="B464" s="10" t="s">
        <v>875</v>
      </c>
      <c r="C464" s="10"/>
      <c r="D464" s="10" t="s">
        <v>1003</v>
      </c>
      <c r="E464" s="10"/>
      <c r="F464" s="10"/>
      <c r="G464" s="10"/>
      <c r="H464" s="11"/>
      <c r="I464" s="11"/>
      <c r="J464" s="10"/>
      <c r="K464" s="16" t="str">
        <f>HYPERLINK("file:///C:/Users/kapil/OneDrive/Desktop/CPPandScripting/CPP_Data/Striver_DSA_Handwritten_Explanations.md#problem-463-bit-prerequisites-for-trie-problems","Notes P463")</f>
        <v>Notes P463</v>
      </c>
    </row>
    <row r="465" spans="1:11" ht="34.049999999999997" customHeight="1" x14ac:dyDescent="0.3">
      <c r="A465" s="12">
        <v>464</v>
      </c>
      <c r="B465" s="5" t="s">
        <v>876</v>
      </c>
      <c r="C465" s="5" t="s">
        <v>877</v>
      </c>
      <c r="D465" s="5"/>
      <c r="E465" s="5"/>
      <c r="F465" s="5"/>
      <c r="G465" s="5"/>
      <c r="H465" s="13"/>
      <c r="I465" s="13"/>
      <c r="J465" s="5"/>
      <c r="K465" s="17" t="str">
        <f>HYPERLINK("file:///C:/Users/kapil/OneDrive/Desktop/CPPandScripting/CPP_Data/Striver_DSA_Handwritten_Explanations.md#problem-464-maximum-xor-of-two-numbers-in-an-array","Notes P464")</f>
        <v>Notes P464</v>
      </c>
    </row>
    <row r="466" spans="1:11" ht="34.049999999999997" customHeight="1" x14ac:dyDescent="0.3">
      <c r="A466" s="9">
        <v>465</v>
      </c>
      <c r="B466" s="10" t="s">
        <v>878</v>
      </c>
      <c r="C466" s="10" t="s">
        <v>879</v>
      </c>
      <c r="D466" s="10"/>
      <c r="E466" s="10"/>
      <c r="F466" s="10"/>
      <c r="G466" s="10"/>
      <c r="H466" s="11"/>
      <c r="I466" s="11"/>
      <c r="J466" s="10"/>
      <c r="K466" s="16" t="str">
        <f>HYPERLINK("file:///C:/Users/kapil/OneDrive/Desktop/CPPandScripting/CPP_Data/Striver_DSA_Handwritten_Explanations.md#problem-465-maximum-xor-with-an-element-from-an-array","Notes P465")</f>
        <v>Notes P465</v>
      </c>
    </row>
    <row r="467" spans="1:11" ht="34.049999999999997" customHeight="1" x14ac:dyDescent="0.3">
      <c r="A467" s="12">
        <v>466</v>
      </c>
      <c r="B467" s="5" t="s">
        <v>880</v>
      </c>
      <c r="C467" s="5" t="s">
        <v>881</v>
      </c>
      <c r="D467" s="5"/>
      <c r="E467" s="5"/>
      <c r="F467" s="5"/>
      <c r="G467" s="5"/>
      <c r="H467" s="13"/>
      <c r="I467" s="13"/>
      <c r="J467" s="5"/>
      <c r="K467" s="17" t="str">
        <f>HYPERLINK("file:///C:/Users/kapil/OneDrive/Desktop/CPPandScripting/CPP_Data/Striver_DSA_Handwritten_Explanations.md#problem-466-minimum-number-of-bracket-reversals-to-make-an-exp","Notes P466")</f>
        <v>Notes P466</v>
      </c>
    </row>
    <row r="468" spans="1:11" ht="34.049999999999997" customHeight="1" x14ac:dyDescent="0.3">
      <c r="A468" s="9">
        <v>467</v>
      </c>
      <c r="B468" s="10" t="s">
        <v>882</v>
      </c>
      <c r="C468" s="10" t="s">
        <v>883</v>
      </c>
      <c r="D468" s="10"/>
      <c r="E468" s="10"/>
      <c r="F468" s="10"/>
      <c r="G468" s="10"/>
      <c r="H468" s="11"/>
      <c r="I468" s="11"/>
      <c r="J468" s="10"/>
      <c r="K468" s="16" t="str">
        <f>HYPERLINK("file:///C:/Users/kapil/OneDrive/Desktop/CPPandScripting/CPP_Data/Striver_DSA_Handwritten_Explanations.md#problem-467-count-and-say","Notes P467")</f>
        <v>Notes P467</v>
      </c>
    </row>
    <row r="469" spans="1:11" ht="34.049999999999997" customHeight="1" x14ac:dyDescent="0.3">
      <c r="A469" s="12">
        <v>468</v>
      </c>
      <c r="B469" s="5" t="s">
        <v>884</v>
      </c>
      <c r="C469" s="5" t="s">
        <v>885</v>
      </c>
      <c r="D469" s="5"/>
      <c r="E469" s="5"/>
      <c r="F469" s="5"/>
      <c r="G469" s="5"/>
      <c r="H469" s="13"/>
      <c r="I469" s="13"/>
      <c r="J469" s="5"/>
      <c r="K469" s="17" t="str">
        <f>HYPERLINK("file:///C:/Users/kapil/OneDrive/Desktop/CPPandScripting/CPP_Data/Striver_DSA_Handwritten_Explanations.md#problem-468-hashing-in-strings-theory","Notes P468")</f>
        <v>Notes P468</v>
      </c>
    </row>
    <row r="470" spans="1:11" ht="34.049999999999997" customHeight="1" x14ac:dyDescent="0.3">
      <c r="A470" s="9">
        <v>469</v>
      </c>
      <c r="B470" s="10" t="s">
        <v>886</v>
      </c>
      <c r="C470" s="10" t="s">
        <v>887</v>
      </c>
      <c r="D470" s="10"/>
      <c r="E470" s="10"/>
      <c r="F470" s="10"/>
      <c r="G470" s="10"/>
      <c r="H470" s="11"/>
      <c r="I470" s="11"/>
      <c r="J470" s="10"/>
      <c r="K470" s="16" t="str">
        <f>HYPERLINK("file:///C:/Users/kapil/OneDrive/Desktop/CPPandScripting/CPP_Data/Striver_DSA_Handwritten_Explanations.md#problem-469-rabin-karp-algorithm","Notes P469")</f>
        <v>Notes P469</v>
      </c>
    </row>
    <row r="471" spans="1:11" ht="34.049999999999997" customHeight="1" x14ac:dyDescent="0.3">
      <c r="A471" s="12">
        <v>470</v>
      </c>
      <c r="B471" s="5" t="s">
        <v>888</v>
      </c>
      <c r="C471" s="5"/>
      <c r="D471" s="5"/>
      <c r="E471" s="5"/>
      <c r="F471" s="5"/>
      <c r="G471" s="5"/>
      <c r="H471" s="13"/>
      <c r="I471" s="13"/>
      <c r="J471" s="5"/>
      <c r="K471" s="17" t="str">
        <f>HYPERLINK("file:///C:/Users/kapil/OneDrive/Desktop/CPPandScripting/CPP_Data/Striver_DSA_Handwritten_Explanations.md#problem-470-z-function","Notes P470")</f>
        <v>Notes P470</v>
      </c>
    </row>
    <row r="472" spans="1:11" ht="34.049999999999997" customHeight="1" x14ac:dyDescent="0.3">
      <c r="A472" s="9">
        <v>471</v>
      </c>
      <c r="B472" s="10" t="s">
        <v>889</v>
      </c>
      <c r="C472" s="10" t="s">
        <v>890</v>
      </c>
      <c r="D472" s="10"/>
      <c r="E472" s="10"/>
      <c r="F472" s="10"/>
      <c r="G472" s="10"/>
      <c r="H472" s="11"/>
      <c r="I472" s="11"/>
      <c r="J472" s="10"/>
      <c r="K472" s="16" t="str">
        <f>HYPERLINK("file:///C:/Users/kapil/OneDrive/Desktop/CPPandScripting/CPP_Data/Striver_DSA_Handwritten_Explanations.md#problem-471-kmp-algorithm-or-lps-array","Notes P471")</f>
        <v>Notes P471</v>
      </c>
    </row>
    <row r="473" spans="1:11" ht="34.049999999999997" customHeight="1" x14ac:dyDescent="0.3">
      <c r="A473" s="12">
        <v>472</v>
      </c>
      <c r="B473" s="5" t="s">
        <v>891</v>
      </c>
      <c r="C473" s="5"/>
      <c r="D473" s="5"/>
      <c r="E473" s="5"/>
      <c r="F473" s="5"/>
      <c r="G473" s="5"/>
      <c r="H473" s="13"/>
      <c r="I473" s="13"/>
      <c r="J473" s="5"/>
      <c r="K473" s="17" t="str">
        <f>HYPERLINK("file:///C:/Users/kapil/OneDrive/Desktop/CPPandScripting/CPP_Data/Striver_DSA_Handwritten_Explanations.md#problem-472-shortest-palindrome","Notes P472")</f>
        <v>Notes P472</v>
      </c>
    </row>
    <row r="474" spans="1:11" ht="34.049999999999997" customHeight="1" x14ac:dyDescent="0.3">
      <c r="A474" s="9">
        <v>473</v>
      </c>
      <c r="B474" s="10" t="s">
        <v>892</v>
      </c>
      <c r="C474" s="10" t="s">
        <v>893</v>
      </c>
      <c r="D474" s="10"/>
      <c r="E474" s="10"/>
      <c r="F474" s="10"/>
      <c r="G474" s="10"/>
      <c r="H474" s="11"/>
      <c r="I474" s="11"/>
      <c r="J474" s="10"/>
      <c r="K474" s="16" t="str">
        <f>HYPERLINK("file:///C:/Users/kapil/OneDrive/Desktop/CPPandScripting/CPP_Data/Striver_DSA_Handwritten_Explanations.md#problem-473-longest-happy-prefix","Notes P473")</f>
        <v>Notes P473</v>
      </c>
    </row>
    <row r="475" spans="1:11" ht="34.049999999999997" customHeight="1" x14ac:dyDescent="0.3">
      <c r="A475" s="14">
        <v>474</v>
      </c>
      <c r="B475" s="4" t="s">
        <v>894</v>
      </c>
      <c r="C475" s="4" t="s">
        <v>895</v>
      </c>
      <c r="D475" s="4"/>
      <c r="E475" s="4"/>
      <c r="F475" s="4"/>
      <c r="G475" s="4"/>
      <c r="H475" s="15"/>
      <c r="I475" s="15"/>
      <c r="J475" s="4"/>
      <c r="K475" s="18" t="str">
        <f>HYPERLINK("file:///C:/Users/kapil/OneDrive/Desktop/CPPandScripting/CPP_Data/Striver_DSA_Handwritten_Explanations.md#problem-474-count-palindromic-subsequences","Notes P474")</f>
        <v>Notes P474</v>
      </c>
    </row>
  </sheetData>
  <autoFilter ref="A1:K475" xr:uid="{2BB8694F-0D1E-4250-8AC4-6D905457EB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Striver DSA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Tripathi</dc:creator>
  <cp:lastModifiedBy>Kapil Tripathi</cp:lastModifiedBy>
  <dcterms:created xsi:type="dcterms:W3CDTF">2026-06-17T05:45:19Z</dcterms:created>
  <dcterms:modified xsi:type="dcterms:W3CDTF">2026-06-20T20:08:42Z</dcterms:modified>
</cp:coreProperties>
</file>